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0c91b0400447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uia" sheetId="1" r:id="R950b1e6d18534049"/>
    <x:sheet xmlns:r="http://schemas.openxmlformats.org/officeDocument/2006/relationships" name="Serie_WID" sheetId="2" r:id="R357f820947224e5e"/>
    <x:sheet xmlns:r="http://schemas.openxmlformats.org/officeDocument/2006/relationships" name="Detalle_WID" sheetId="3" r:id="R6f344d63d101441b"/>
    <x:sheet xmlns:r="http://schemas.openxmlformats.org/officeDocument/2006/relationships" name="Limites_WID" sheetId="4" r:id="Re47710e479dd47df"/>
    <x:sheet xmlns:r="http://schemas.openxmlformats.org/officeDocument/2006/relationships" name="FEDEA_2013_2023" sheetId="5" r:id="Ra39410df73ad4bdb"/>
    <x:sheet xmlns:r="http://schemas.openxmlformats.org/officeDocument/2006/relationships" name="Revisiones_FEDEA" sheetId="6" r:id="Rc55883161f8842e6"/>
    <x:sheet xmlns:r="http://schemas.openxmlformats.org/officeDocument/2006/relationships" name="Eurostat_1990_2023" sheetId="7" r:id="Rad23873ef7424c9b"/>
    <x:sheet xmlns:r="http://schemas.openxmlformats.org/officeDocument/2006/relationships" name="WID_raw" sheetId="8" r:id="R05594da5901a4655"/>
    <x:sheet xmlns:r="http://schemas.openxmlformats.org/officeDocument/2006/relationships" name="Parametros" sheetId="9" r:id="Rf5c36732f47c414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%"/>
    <x:numFmt numFmtId="201" formatCode="0.0000"/>
    <x:numFmt numFmtId="202" formatCode="#,##0 &quot;€&quot;"/>
    <x:numFmt numFmtId="203" formatCode="0.0%"/>
    <x:numFmt numFmtId="204" formatCode="0.0"/>
  </x:numFmts>
  <x:fonts count="7">
    <x:font>
      <x:sz val="11"/>
      <x:name val="Carlito"/>
    </x:font>
    <x:font>
      <x:b/>
      <x:sz val="16"/>
      <x:color rgb="FFFFFFFF"/>
      <x:name val="Carlito"/>
    </x:font>
    <x:font>
      <x:i/>
      <x:sz val="10"/>
      <x:color rgb="FF56635F"/>
      <x:name val="Carlito"/>
    </x:font>
    <x:font>
      <x:b/>
      <x:sz val="10"/>
      <x:color rgb="FFFFFFFF"/>
      <x:name val="Carlito"/>
    </x:font>
    <x:font>
      <x:sz val="10"/>
      <x:color rgb="FF1E2926"/>
      <x:name val="Carlito"/>
    </x:font>
    <x:font>
      <x:b/>
      <x:sz val="11"/>
      <x:color rgb="FF1E2926"/>
      <x:name val="Carlito"/>
    </x:font>
    <x:font>
      <x:b/>
      <x:sz val="12"/>
      <x:color rgb="FF173F35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F35"/>
      </x:patternFill>
    </x:fill>
    <x:fill>
      <x:patternFill patternType="solid">
        <x:fgColor rgb="FFF4F8F6"/>
      </x:patternFill>
    </x:fill>
    <x:fill>
      <x:patternFill patternType="solid">
        <x:fgColor rgb="FF2B6F5E"/>
      </x:patternFill>
    </x:fill>
    <x:fill>
      <x:patternFill patternType="solid">
        <x:fgColor rgb="FFFBE7D2"/>
      </x:patternFill>
    </x:fill>
    <x:fill>
      <x:patternFill patternType="solid">
        <x:fgColor rgb="FFDDEFE9"/>
      </x:patternFill>
    </x:fill>
  </x:fills>
  <x:borders count="6">
    <x:border/>
    <x:border>
      <x:bottom style="medium">
        <x:color rgb="FF173F35"/>
      </x:bottom>
    </x:border>
    <x:border>
      <x:bottom style="thin">
        <x:color rgb="FFC9D7D2"/>
      </x:bottom>
    </x:border>
    <x:border>
      <x:top style="thin">
        <x:color rgb="FFC9D7D2"/>
      </x:top>
      <x:bottom style="thin">
        <x:color rgb="FFC9D7D2"/>
      </x:bottom>
    </x:border>
    <x:border>
      <x:top style="thin">
        <x:color rgb="FFC9D7D2"/>
      </x:top>
      <x:bottom style="medium">
        <x:color rgb="FF173F35"/>
      </x:bottom>
    </x:border>
    <x:border>
      <x:top style="thin">
        <x:color rgb="FFC9D7D2"/>
      </x:top>
    </x:border>
  </x:borders>
  <x:cellStyleXfs count="1">
    <x:xf numFmtId="0" fontId="0" fillId="0" borderId="0"/>
  </x:cellStyleXfs>
  <x:cellXfs count="6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0" fontId="3" fillId="4" borderId="2" xfId="0" applyNumberFormat="1" applyFont="1" applyFill="1" applyBorder="1" applyAlignment="1">
      <x:alignment horizontal="center" vertical="center" wrapText="1"/>
    </x:xf>
    <x:xf numFmtId="0" fontId="0" fillId="0" borderId="3" xfId="0" applyNumberFormat="1" applyFont="1" applyFill="1" applyBorder="1"/>
    <x:xf numFmtId="200" fontId="0" fillId="0" borderId="3" xfId="0" applyNumberFormat="1" applyFont="1" applyFill="1" applyBorder="1"/>
    <x:xf numFmtId="0" fontId="0" fillId="0" borderId="4" xfId="0" applyNumberFormat="1" applyFont="1" applyFill="1" applyBorder="1"/>
    <x:xf numFmtId="200" fontId="0" fillId="0" borderId="4" xfId="0" applyNumberFormat="1" applyFont="1" applyFill="1" applyBorder="1"/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5" xfId="0" applyNumberFormat="1" applyFont="1" applyFill="1" applyBorder="1"/>
    <x:xf numFmtId="0" fontId="4" fillId="0" borderId="2" xfId="0" applyNumberFormat="1" applyFont="1" applyFill="1" applyBorder="1" applyAlignment="1">
      <x:alignment vertical="center"/>
    </x:xf>
    <x:xf numFmtId="0" fontId="4" fillId="0" borderId="3" xfId="0" applyNumberFormat="1" applyFont="1" applyFill="1" applyBorder="1" applyAlignment="1">
      <x:alignment vertical="center"/>
    </x:xf>
    <x:xf numFmtId="0" fontId="4" fillId="0" borderId="5" xfId="0" applyNumberFormat="1" applyFont="1" applyFill="1" applyBorder="1" applyAlignment="1">
      <x:alignment vertical="center"/>
    </x:xf>
    <x:xf numFmtId="201" fontId="4" fillId="0" borderId="2" xfId="0" applyNumberFormat="1" applyFont="1" applyFill="1" applyBorder="1" applyAlignment="1">
      <x:alignment vertical="center"/>
    </x:xf>
    <x:xf numFmtId="201" fontId="4" fillId="0" borderId="3" xfId="0" applyNumberFormat="1" applyFont="1" applyFill="1" applyBorder="1" applyAlignment="1">
      <x:alignment vertical="center"/>
    </x:xf>
    <x:xf numFmtId="201" fontId="4" fillId="0" borderId="5" xfId="0" applyNumberFormat="1" applyFont="1" applyFill="1" applyBorder="1" applyAlignment="1">
      <x:alignment vertical="center"/>
    </x:xf>
    <x:xf numFmtId="202" fontId="4" fillId="0" borderId="2" xfId="0" applyNumberFormat="1" applyFont="1" applyFill="1" applyBorder="1" applyAlignment="1">
      <x:alignment vertical="center"/>
    </x:xf>
    <x:xf numFmtId="202" fontId="4" fillId="0" borderId="3" xfId="0" applyNumberFormat="1" applyFont="1" applyFill="1" applyBorder="1" applyAlignment="1">
      <x:alignment vertical="center"/>
    </x:xf>
    <x:xf numFmtId="202" fontId="4" fillId="0" borderId="5" xfId="0" applyNumberFormat="1" applyFont="1" applyFill="1" applyBorder="1" applyAlignment="1">
      <x:alignment vertical="center"/>
    </x:xf>
    <x:xf numFmtId="203" fontId="4" fillId="0" borderId="2" xfId="0" applyNumberFormat="1" applyFont="1" applyFill="1" applyBorder="1" applyAlignment="1">
      <x:alignment vertical="center"/>
    </x:xf>
    <x:xf numFmtId="203" fontId="4" fillId="0" borderId="3" xfId="0" applyNumberFormat="1" applyFont="1" applyFill="1" applyBorder="1" applyAlignment="1">
      <x:alignment vertical="center"/>
    </x:xf>
    <x:xf numFmtId="203" fontId="4" fillId="0" borderId="5" xfId="0" applyNumberFormat="1" applyFont="1" applyFill="1" applyBorder="1" applyAlignment="1">
      <x:alignment vertical="center"/>
    </x:xf>
    <x:xf numFmtId="204" fontId="4" fillId="0" borderId="2" xfId="0" applyNumberFormat="1" applyFont="1" applyFill="1" applyBorder="1" applyAlignment="1">
      <x:alignment vertical="center"/>
    </x:xf>
    <x:xf numFmtId="204" fontId="4" fillId="0" borderId="3" xfId="0" applyNumberFormat="1" applyFont="1" applyFill="1" applyBorder="1" applyAlignment="1">
      <x:alignment vertical="center"/>
    </x:xf>
    <x:xf numFmtId="204" fontId="4" fillId="0" borderId="5" xfId="0" applyNumberFormat="1" applyFont="1" applyFill="1" applyBorder="1" applyAlignment="1">
      <x:alignment vertical="center"/>
    </x:xf>
    <x:xf numFmtId="0" fontId="4" fillId="0" borderId="2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4" fillId="5" borderId="3" xfId="0" applyNumberFormat="1" applyFont="1" applyFill="1" applyBorder="1" applyAlignment="1">
      <x:alignment vertical="center"/>
    </x:xf>
    <x:xf numFmtId="201" fontId="4" fillId="5" borderId="3" xfId="0" applyNumberFormat="1" applyFont="1" applyFill="1" applyBorder="1" applyAlignment="1">
      <x:alignment vertical="center"/>
    </x:xf>
    <x:xf numFmtId="202" fontId="4" fillId="5" borderId="3" xfId="0" applyNumberFormat="1" applyFont="1" applyFill="1" applyBorder="1" applyAlignment="1">
      <x:alignment vertical="center"/>
    </x:xf>
    <x:xf numFmtId="0" fontId="4" fillId="5" borderId="3" xfId="0" applyNumberFormat="1" applyFont="1" applyFill="1" applyBorder="1" applyAlignment="1">
      <x:alignment vertical="center" wrapText="1"/>
    </x:xf>
    <x:xf numFmtId="0" fontId="4" fillId="5" borderId="2" xfId="0" applyNumberFormat="1" applyFont="1" applyFill="1" applyBorder="1" applyAlignment="1">
      <x:alignment vertical="center"/>
    </x:xf>
    <x:xf numFmtId="202" fontId="4" fillId="5" borderId="2" xfId="0" applyNumberFormat="1" applyFont="1" applyFill="1" applyBorder="1" applyAlignment="1">
      <x:alignment vertical="center"/>
    </x:xf>
    <x:xf numFmtId="203" fontId="4" fillId="5" borderId="2" xfId="0" applyNumberFormat="1" applyFont="1" applyFill="1" applyBorder="1" applyAlignment="1">
      <x:alignment vertical="center"/>
    </x:xf>
    <x:xf numFmtId="0" fontId="4" fillId="5" borderId="2" xfId="0" applyNumberFormat="1" applyFont="1" applyFill="1" applyBorder="1" applyAlignment="1">
      <x:alignment vertical="center" wrapText="1"/>
    </x:xf>
    <x:xf numFmtId="203" fontId="4" fillId="5" borderId="3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2" xfId="0" applyNumberFormat="1" applyFont="1" applyFill="1" applyBorder="1"/>
    <x:xf numFmtId="0" fontId="4" fillId="3" borderId="3" xfId="0" applyNumberFormat="1" applyFont="1" applyFill="1" applyBorder="1"/>
    <x:xf numFmtId="0" fontId="4" fillId="3" borderId="5" xfId="0" applyNumberFormat="1" applyFont="1" applyFill="1" applyBorder="1"/>
    <x:xf numFmtId="0" fontId="4" fillId="3" borderId="2" xfId="0" applyNumberFormat="1" applyFont="1" applyFill="1" applyBorder="1" applyAlignment="1">
      <x:alignment wrapText="1"/>
    </x:xf>
    <x:xf numFmtId="0" fontId="4" fillId="3" borderId="3" xfId="0" applyNumberFormat="1" applyFont="1" applyFill="1" applyBorder="1" applyAlignment="1">
      <x:alignment wrapText="1"/>
    </x:xf>
    <x:xf numFmtId="0" fontId="4" fillId="3" borderId="5" xfId="0" applyNumberFormat="1" applyFont="1" applyFill="1" applyBorder="1" applyAlignment="1">
      <x:alignment wrapText="1"/>
    </x:xf>
    <x:xf numFmtId="0" fontId="4" fillId="3" borderId="2" xfId="0" applyNumberFormat="1" applyFont="1" applyFill="1" applyBorder="1" applyAlignment="1">
      <x:alignment vertical="center" wrapText="1"/>
    </x:xf>
    <x:xf numFmtId="0" fontId="4" fillId="3" borderId="3" xfId="0" applyNumberFormat="1" applyFont="1" applyFill="1" applyBorder="1" applyAlignment="1">
      <x:alignment vertical="center" wrapText="1"/>
    </x:xf>
    <x:xf numFmtId="0" fontId="4" fillId="3" borderId="5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309f5fb3db4d24" /><Relationship Type="http://schemas.openxmlformats.org/officeDocument/2006/relationships/theme" Target="/xl/theme/theme1.xml" Id="Rc937cb0beda64a47" /><Relationship Type="http://schemas.openxmlformats.org/officeDocument/2006/relationships/sharedStrings" Target="/xl/sharedStrings.xml" Id="Rdbbd5df268d24999" /><Relationship Type="http://schemas.openxmlformats.org/officeDocument/2006/relationships/worksheet" Target="/xl/worksheets/sheet1.xml" Id="R950b1e6d18534049" /><Relationship Type="http://schemas.openxmlformats.org/officeDocument/2006/relationships/worksheet" Target="/xl/worksheets/sheet2.xml" Id="R357f820947224e5e" /><Relationship Type="http://schemas.openxmlformats.org/officeDocument/2006/relationships/worksheet" Target="/xl/worksheets/sheet3.xml" Id="R6f344d63d101441b" /><Relationship Type="http://schemas.openxmlformats.org/officeDocument/2006/relationships/worksheet" Target="/xl/worksheets/sheet4.xml" Id="Re47710e479dd47df" /><Relationship Type="http://schemas.openxmlformats.org/officeDocument/2006/relationships/worksheet" Target="/xl/worksheets/sheet5.xml" Id="Ra39410df73ad4bdb" /><Relationship Type="http://schemas.openxmlformats.org/officeDocument/2006/relationships/worksheet" Target="/xl/worksheets/sheet6.xml" Id="Rc55883161f8842e6" /><Relationship Type="http://schemas.openxmlformats.org/officeDocument/2006/relationships/worksheet" Target="/xl/worksheets/sheet7.xml" Id="Rad23873ef7424c9b" /><Relationship Type="http://schemas.openxmlformats.org/officeDocument/2006/relationships/worksheet" Target="/xl/worksheets/sheet8.xml" Id="R05594da5901a4655" /><Relationship Type="http://schemas.openxmlformats.org/officeDocument/2006/relationships/worksheet" Target="/xl/worksheets/sheet9.xml" Id="Rf5c36732f47c4148" /></Relationships>
</file>

<file path=xl/tables/table1.xml><?xml version="1.0" encoding="utf-8"?>
<x:table xmlns:x="http://schemas.openxmlformats.org/spreadsheetml/2006/main" id="2" name="WidSeriesTable" displayName="WidSeriesTable" ref="A4:P38" headerRowCount="1" totalsRowCount="0" totalsRowShown="0">
  <x:autoFilter ref="A4:P38"/>
  <x:tableColumns count="16">
    <x:tableColumn id="1" name="Ano"/>
    <x:tableColumn id="2" name="Indice precios (2025=1)"/>
    <x:tableColumn id="3" name="Total, euros de 2025"/>
    <x:tableColumn id="4" name="Q1, euros de 2025"/>
    <x:tableColumn id="5" name="Q2, euros de 2025"/>
    <x:tableColumn id="6" name="Q3, euros de 2025"/>
    <x:tableColumn id="7" name="Q4, euros de 2025"/>
    <x:tableColumn id="8" name="Q5, euros de 2025"/>
    <x:tableColumn id="9" name="Total, euros corrientes"/>
    <x:tableColumn id="10" name="Q1, euros corrientes"/>
    <x:tableColumn id="11" name="Q2, euros corrientes"/>
    <x:tableColumn id="12" name="Q3, euros corrientes"/>
    <x:tableColumn id="13" name="Q4, euros corrientes"/>
    <x:tableColumn id="14" name="Q5, euros corrientes"/>
    <x:tableColumn id="15" name="Calidad WID"/>
    <x:tableColumn id="16" name="Fuente URL"/>
  </x:tableColumns>
  <x:tableStyleInfo name="TableStyleMedium4" showFirstColumn="0" showLastColumn="0" showRowStripes="1" showColumnStripes="0"/>
</x:table>
</file>

<file path=xl/tables/table2.xml><?xml version="1.0" encoding="utf-8"?>
<x:table xmlns:x="http://schemas.openxmlformats.org/spreadsheetml/2006/main" id="3" name="WidDetailTable" displayName="WidDetailTable" ref="A4:W38" headerRowCount="1" totalsRowCount="0" totalsRowShown="0">
  <x:autoFilter ref="A4:W38"/>
  <x:tableColumns count="23">
    <x:tableColumn id="1" name="Ano"/>
    <x:tableColumn id="2" name="Q1, euros de 2025"/>
    <x:tableColumn id="3" name="Q2, euros de 2025"/>
    <x:tableColumn id="4" name="Q3, euros de 2025"/>
    <x:tableColumn id="5" name="Q4, euros de 2025"/>
    <x:tableColumn id="6" name="Decil 9, euros de 2025"/>
    <x:tableColumn id="7" name="Centiles 91-99, euros de 2025"/>
    <x:tableColumn id="8" name="1% superior, euros de 2025"/>
    <x:tableColumn id="9" name="Q1, euros corrientes"/>
    <x:tableColumn id="10" name="Q2, euros corrientes"/>
    <x:tableColumn id="11" name="Q3, euros corrientes"/>
    <x:tableColumn id="12" name="Q4, euros corrientes"/>
    <x:tableColumn id="13" name="Decil 9, euros corrientes"/>
    <x:tableColumn id="14" name="Centiles 91-99, euros corrientes"/>
    <x:tableColumn id="15" name="1% superior, euros corrientes"/>
    <x:tableColumn id="16" name="Q1, cuota de renta"/>
    <x:tableColumn id="17" name="Q2, cuota de renta"/>
    <x:tableColumn id="18" name="Q3, cuota de renta"/>
    <x:tableColumn id="19" name="Q4, cuota de renta"/>
    <x:tableColumn id="20" name="Decil 9, cuota de renta"/>
    <x:tableColumn id="21" name="Centiles 91-99, cuota de renta"/>
    <x:tableColumn id="22" name="1% superior, cuota de renta"/>
    <x:tableColumn id="23" name="Fuente URL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4" name="WidCutoffTable" displayName="WidCutoffTable" ref="A4:N38" headerRowCount="1" totalsRowCount="0" totalsRowShown="0">
  <x:autoFilter ref="A4:N38"/>
  <x:tableColumns count="14">
    <x:tableColumn id="1" name="Ano"/>
    <x:tableColumn id="2" name="Tope Q1 (P20), euros de 2025"/>
    <x:tableColumn id="3" name="Tope Q2 (P40), euros de 2025"/>
    <x:tableColumn id="4" name="Tope Q3 (P60), euros de 2025"/>
    <x:tableColumn id="5" name="Tope Q4 (P80), euros de 2025"/>
    <x:tableColumn id="6" name="Tope decil 9 (P90), euros de 2025"/>
    <x:tableColumn id="7" name="Entrada 1% superior (P99), euros de 2025"/>
    <x:tableColumn id="8" name="Tope Q1 (P20), euros corrientes"/>
    <x:tableColumn id="9" name="Tope Q2 (P40), euros corrientes"/>
    <x:tableColumn id="10" name="Tope Q3 (P60), euros corrientes"/>
    <x:tableColumn id="11" name="Tope Q4 (P80), euros corrientes"/>
    <x:tableColumn id="12" name="Tope decil 9 (P90), euros corrientes"/>
    <x:tableColumn id="13" name="Entrada 1% superior (P99), euros corrientes"/>
    <x:tableColumn id="14" name="Fuente URL"/>
  </x:tableColumns>
  <x:tableStyleInfo name="TableStyleMedium4" showFirstColumn="0" showLastColumn="0" showRowStripes="1" showColumnStripes="0"/>
</x:table>
</file>

<file path=xl/tables/table4.xml><?xml version="1.0" encoding="utf-8"?>
<x:table xmlns:x="http://schemas.openxmlformats.org/spreadsheetml/2006/main" id="5" name="FedeaLatestTable" displayName="FedeaLatestTable" ref="A4:T15" headerRowCount="1" totalsRowCount="0" totalsRowShown="0">
  <x:autoFilter ref="A4:T15"/>
  <x:tableColumns count="20">
    <x:tableColumn id="1" name="Ano"/>
    <x:tableColumn id="2" name="Indice precios (2025=1)"/>
    <x:tableColumn id="3" name="Q1, euros corrientes"/>
    <x:tableColumn id="4" name="Q2, euros corrientes"/>
    <x:tableColumn id="5" name="Q3, euros corrientes"/>
    <x:tableColumn id="6" name="Q4, euros corrientes"/>
    <x:tableColumn id="7" name="Q5 agregado, euros corrientes"/>
    <x:tableColumn id="8" name="Decil 9, euros corrientes"/>
    <x:tableColumn id="9" name="Centiles 91-99, euros corrientes"/>
    <x:tableColumn id="10" name="1% superior, euros corrientes"/>
    <x:tableColumn id="11" name="Total, euros corrientes"/>
    <x:tableColumn id="12" name="Q1, euros de 2025"/>
    <x:tableColumn id="13" name="Q2, euros de 2025"/>
    <x:tableColumn id="14" name="Q3, euros de 2025"/>
    <x:tableColumn id="15" name="Q4, euros de 2025"/>
    <x:tableColumn id="16" name="Q5 agregado, euros de 2025"/>
    <x:tableColumn id="17" name="Definicion"/>
    <x:tableColumn id="18" name="Informe"/>
    <x:tableColumn id="19" name="Fuente URL"/>
    <x:tableColumn id="20" name="Nota"/>
  </x:tableColumns>
  <x:tableStyleInfo name="TableStyleMedium4" showFirstColumn="0" showLastColumn="0" showRowStripes="1" showColumnStripes="0"/>
</x:table>
</file>

<file path=xl/tables/table5.xml><?xml version="1.0" encoding="utf-8"?>
<x:table xmlns:x="http://schemas.openxmlformats.org/spreadsheetml/2006/main" id="6" name="FedeaRevisionTable" displayName="FedeaRevisionTable" ref="A4:N19" headerRowCount="1" totalsRowCount="0" totalsRowShown="0">
  <x:autoFilter ref="A4:N19"/>
  <x:tableColumns count="14">
    <x:tableColumn id="1" name="Ano"/>
    <x:tableColumn id="2" name="Ano del informe"/>
    <x:tableColumn id="3" name="Informe/version"/>
    <x:tableColumn id="4" name="Definicion"/>
    <x:tableColumn id="5" name="Q1"/>
    <x:tableColumn id="6" name="Q2"/>
    <x:tableColumn id="7" name="Q3"/>
    <x:tableColumn id="8" name="Q4"/>
    <x:tableColumn id="9" name="Q5 agregado"/>
    <x:tableColumn id="10" name="Decil 9"/>
    <x:tableColumn id="11" name="Centiles 91-99"/>
    <x:tableColumn id="12" name="1% superior"/>
    <x:tableColumn id="13" name="Total"/>
    <x:tableColumn id="14" name="Fuente URL"/>
  </x:tableColumns>
  <x:tableStyleInfo name="TableStyleMedium4" showFirstColumn="0" showLastColumn="0" showRowStripes="1" showColumnStripes="0"/>
</x:table>
</file>

<file path=xl/tables/table6.xml><?xml version="1.0" encoding="utf-8"?>
<x:table xmlns:x="http://schemas.openxmlformats.org/spreadsheetml/2006/main" id="7" name="EurostatIncomeTable" displayName="EurostatIncomeTable" ref="A4:T38" headerRowCount="1" totalsRowCount="0" totalsRowShown="0">
  <x:autoFilter ref="A4:T38"/>
  <x:tableColumns count="20">
    <x:tableColumn id="1" name="Ano encuesta"/>
    <x:tableColumn id="2" name="Media renta neta equivalente"/>
    <x:tableColumn id="3" name="Q1 media estimada"/>
    <x:tableColumn id="4" name="Q2 media estimada"/>
    <x:tableColumn id="5" name="Q3 media estimada"/>
    <x:tableColumn id="6" name="Q4 media estimada"/>
    <x:tableColumn id="7" name="Q5 media estimada"/>
    <x:tableColumn id="8" name="Tope Q1"/>
    <x:tableColumn id="9" name="Tope Q2"/>
    <x:tableColumn id="10" name="Tope Q3"/>
    <x:tableColumn id="11" name="Tope Q4"/>
    <x:tableColumn id="12" name="Cuota renta Q1"/>
    <x:tableColumn id="13" name="Cuota renta Q2"/>
    <x:tableColumn id="14" name="Cuota renta Q3"/>
    <x:tableColumn id="15" name="Cuota renta Q4"/>
    <x:tableColumn id="16" name="Cuota renta Q5"/>
    <x:tableColumn id="17" name="Bandera"/>
    <x:tableColumn id="18" name="Nota"/>
    <x:tableColumn id="19" name="Fuente cuantiles URL"/>
    <x:tableColumn id="20" name="Fuente media URL"/>
  </x:tableColumns>
  <x:tableStyleInfo name="TableStyleMedium4" showFirstColumn="0" showLastColumn="0" showRowStripes="1" showColumnStripes="0"/>
</x:table>
</file>

<file path=xl/tables/table7.xml><?xml version="1.0" encoding="utf-8"?>
<x:table xmlns:x="http://schemas.openxmlformats.org/spreadsheetml/2006/main" id="1" name="WidRawTable" displayName="WidRawTable" ref="A4:AB38" headerRowCount="1" totalsRowCount="0" totalsRowShown="0">
  <x:autoFilter ref="A4:AB38"/>
  <x:tableColumns count="28">
    <x:tableColumn id="1" name="Ano"/>
    <x:tableColumn id="2" name="Indice precios (2025=1)"/>
    <x:tableColumn id="3" name="Media P0-P100"/>
    <x:tableColumn id="4" name="Media P0-P20"/>
    <x:tableColumn id="5" name="Media P0-P40"/>
    <x:tableColumn id="6" name="Media P0-P60"/>
    <x:tableColumn id="7" name="Media P0-P80"/>
    <x:tableColumn id="8" name="Media P80-P100"/>
    <x:tableColumn id="9" name="Media P0-P90"/>
    <x:tableColumn id="10" name="Media P80-P90"/>
    <x:tableColumn id="11" name="Media P0-P99"/>
    <x:tableColumn id="12" name="Media P99-P100"/>
    <x:tableColumn id="13" name="Cuota P0-P20"/>
    <x:tableColumn id="14" name="Cuota P0-P40"/>
    <x:tableColumn id="15" name="Cuota P0-P60"/>
    <x:tableColumn id="16" name="Cuota P0-P80"/>
    <x:tableColumn id="17" name="Cuota P80-P100"/>
    <x:tableColumn id="18" name="Cuota P0-P90"/>
    <x:tableColumn id="19" name="Cuota P0-P99"/>
    <x:tableColumn id="20" name="Cuota P99-P100"/>
    <x:tableColumn id="21" name="Umbral P20"/>
    <x:tableColumn id="22" name="Umbral P40"/>
    <x:tableColumn id="23" name="Umbral P60"/>
    <x:tableColumn id="24" name="Umbral P80"/>
    <x:tableColumn id="25" name="Umbral P90"/>
    <x:tableColumn id="26" name="Umbral P99"/>
    <x:tableColumn id="27" name="Calidad WID"/>
    <x:tableColumn id="28" name="Fuente URL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c913e7d12cf4f4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6d1e01302b046d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6cb32f8eb7c4e4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61d37b13b5c42d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70f0e86491e4eb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1f1e34a5eaa444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cb6582424144e3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3" hidden="0" customWidth="1"/>
    <x:col min="2" max="2" width="62" hidden="0" customWidth="1"/>
    <x:col min="3" max="3" width="35" hidden="0" customWidth="1"/>
    <x:col min="4" max="4" width="38" hidden="0" customWidth="1"/>
    <x:col min="5" max="5" width="3" hidden="0" customWidth="1"/>
    <x:col min="6" max="6" width="3" hidden="0" customWidth="1"/>
    <x:col min="7" max="7" width="3" hidden="0" customWidth="1"/>
    <x:col min="8" max="8" width="3" hidden="0" customWidth="1"/>
  </x:cols>
  <x:sheetData>
    <x:row r="1" ht="28" customHeight="1">
      <x:c r="A1" s="3" t="str">
        <x:v>Renta por quintiles en Espana: guia de uso</x:v>
      </x:c>
      <x:c r="B1" s="3"/>
      <x:c r="C1" s="3"/>
      <x:c r="D1" s="3"/>
      <x:c r="E1" s="3"/>
      <x:c r="F1" s="3"/>
      <x:c r="G1" s="3"/>
      <x:c r="H1" s="3"/>
    </x:row>
    <x:row r="2" ht="34" customHeight="1">
      <x:c r="A2" s="7" t="str">
        <x:v>Periodo solicitado: 1990-2023. El libro separa tres conceptos para evitar una serie falsa por empalme.</x:v>
      </x:c>
      <x:c r="B2" s="7"/>
      <x:c r="C2" s="7"/>
      <x:c r="D2" s="7"/>
      <x:c r="E2" s="7"/>
      <x:c r="F2" s="7"/>
      <x:c r="G2" s="7"/>
      <x:c r="H2" s="7"/>
    </x:row>
    <x:row r="4" ht="32" customHeight="1">
      <x:c r="A4" s="54" t="str">
        <x:v>Resultado principal: no existe una unica serie oficial anual, identica al anexo FEDEA, para 1990-2023.</x:v>
      </x:c>
      <x:c r="B4" s="54"/>
      <x:c r="C4" s="54"/>
      <x:c r="D4" s="54"/>
      <x:c r="E4" s="54"/>
      <x:c r="F4" s="54"/>
      <x:c r="G4" s="54"/>
      <x:c r="H4" s="54"/>
    </x:row>
    <x:row r="6" ht="36" customHeight="1">
      <x:c r="A6" s="13" t="str">
        <x:v>Hoja</x:v>
      </x:c>
      <x:c r="B6" s="13" t="str">
        <x:v>Cobertura</x:v>
      </x:c>
      <x:c r="C6" s="13" t="str">
        <x:v>Concepto</x:v>
      </x:c>
      <x:c r="D6" s="13" t="str">
        <x:v>Uso recomendado</x:v>
      </x:c>
    </x:row>
    <x:row r="7">
      <x:c r="A7" s="39" t="str">
        <x:v>Serie_WID</x:v>
      </x:c>
      <x:c r="B7" s="39" t="str">
        <x:v>1990-2023, anual y sin huecos</x:v>
      </x:c>
      <x:c r="C7" s="39" t="str">
        <x:v>Renta nacional antes de impuestos por adulto, reparto igualitario</x:v>
      </x:c>
      <x:c r="D7" s="39" t="str">
        <x:v>Grafico historico largo y comparable</x:v>
      </x:c>
    </x:row>
    <x:row r="8">
      <x:c r="A8" s="40" t="str">
        <x:v>Detalle_WID / Limites_WID</x:v>
      </x:c>
      <x:c r="B8" s="40" t="str">
        <x:v>1990-2023</x:v>
      </x:c>
      <x:c r="C8" s="40" t="str">
        <x:v>Detalle del 20% superior y umbrales de grupos</x:v>
      </x:c>
      <x:c r="D8" s="40" t="str">
        <x:v>Reproducir la estructura Q1-Q4, D9, P91-99 y top 1%</x:v>
      </x:c>
    </x:row>
    <x:row r="9">
      <x:c r="A9" s="40" t="str">
        <x:v>FEDEA_2013_2023</x:v>
      </x:c>
      <x:c r="B9" s="40" t="str">
        <x:v>2013-2023</x:v>
      </x:c>
      <x:c r="C9" s="40" t="str">
        <x:v>Renta bruta media del hogar, euros corrientes</x:v>
      </x:c>
      <x:c r="D9" s="40" t="str">
        <x:v>Comparacion mas cercana al anexo aportado</x:v>
      </x:c>
    </x:row>
    <x:row r="10">
      <x:c r="A10" s="41" t="str">
        <x:v>Eurostat_1990_2023</x:v>
      </x:c>
      <x:c r="B10" s="41" t="str">
        <x:v>1995-2001 y 2004-2023</x:v>
      </x:c>
      <x:c r="C10" s="41" t="str">
        <x:v>Renta disponible equivalente por persona</x:v>
      </x:c>
      <x:c r="D10" s="41" t="str">
        <x:v>Contraste oficial de encuesta; no empalmar con FEDEA</x:v>
      </x:c>
    </x:row>
    <x:row r="12">
      <x:c r="A12" s="56" t="str">
        <x:v>Advertencias metodologicas</x:v>
      </x:c>
      <x:c r="B12" s="56"/>
      <x:c r="C12" s="56"/>
      <x:c r="D12" s="56"/>
      <x:c r="E12" s="56"/>
      <x:c r="F12" s="56"/>
      <x:c r="G12" s="56"/>
      <x:c r="H12" s="56"/>
    </x:row>
    <x:row r="13" ht="33" customHeight="1">
      <x:c r="A13" s="64" t="str">
        <x:v>1. WID no mide sueldo individual: incluye rentas del trabajo, capital y prestaciones de seguro social antes de otros impuestos y transferencias.</x:v>
      </x:c>
      <x:c r="B13" s="64"/>
      <x:c r="C13" s="64"/>
      <x:c r="D13" s="64"/>
      <x:c r="E13" s="64"/>
      <x:c r="F13" s="64"/>
      <x:c r="G13" s="64"/>
      <x:c r="H13" s="64"/>
    </x:row>
    <x:row r="14" ht="33" customHeight="1">
      <x:c r="A14" s="65" t="str">
        <x:v>2. WID usa adultos de 20 o mas anos y reparte recursos por igual en la pareja/hogar. Sus importes fuente estan en euros constantes de 2025; las columnas corrientes se calculan con el indice de precios de la renta nacional.</x:v>
      </x:c>
      <x:c r="B14" s="65"/>
      <x:c r="C14" s="65"/>
      <x:c r="D14" s="65"/>
      <x:c r="E14" s="65"/>
      <x:c r="F14" s="65"/>
      <x:c r="G14" s="65"/>
      <x:c r="H14" s="65"/>
    </x:row>
    <x:row r="15" ht="33" customHeight="1">
      <x:c r="A15" s="65" t="str">
        <x:v>3. FEDEA ordena hogares por renta bruta. El quinto quintil no aparece agregado en sus anexos; aqui se calcula ponderando 10%, 9% y 1%.</x:v>
      </x:c>
      <x:c r="B15" s="65"/>
      <x:c r="C15" s="65"/>
      <x:c r="D15" s="65"/>
      <x:c r="E15" s="65"/>
      <x:c r="F15" s="65"/>
      <x:c r="G15" s="65"/>
      <x:c r="H15" s="65"/>
    </x:row>
    <x:row r="16" ht="33" customHeight="1">
      <x:c r="A16" s="65" t="str">
        <x:v>4. FEDEA presenta una ruptura metodologica en 2017 y revisa 2022 en el informe de 2026. La hoja Revisiones_FEDEA conserva las versiones.</x:v>
      </x:c>
      <x:c r="B16" s="65"/>
      <x:c r="C16" s="65"/>
      <x:c r="D16" s="65"/>
      <x:c r="E16" s="65"/>
      <x:c r="F16" s="65"/>
      <x:c r="G16" s="65"/>
      <x:c r="H16" s="65"/>
    </x:row>
    <x:row r="17" ht="33" customHeight="1">
      <x:c r="A17" s="65" t="str">
        <x:v>5. Eurostat usa renta disponible equivalente. Las medias por quintil son aproximadas porque se derivan de cuotas de renta publicadas con redondeo.</x:v>
      </x:c>
      <x:c r="B17" s="65"/>
      <x:c r="C17" s="65"/>
      <x:c r="D17" s="65"/>
      <x:c r="E17" s="65"/>
      <x:c r="F17" s="65"/>
      <x:c r="G17" s="65"/>
      <x:c r="H17" s="65"/>
    </x:row>
    <x:row r="18" ht="33" customHeight="1">
      <x:c r="A18" s="66" t="str">
        <x:v>6. Para analizar esfuerzo fiscal, combine una distribucion de renta con tipos efectivos pagados; los tipos marginales legales del IRPF no bastan.</x:v>
      </x:c>
      <x:c r="B18" s="66"/>
      <x:c r="C18" s="66"/>
      <x:c r="D18" s="66"/>
      <x:c r="E18" s="66"/>
      <x:c r="F18" s="66"/>
      <x:c r="G18" s="66"/>
      <x:c r="H18" s="66"/>
    </x:row>
    <x:row r="20" ht="36" customHeight="1">
      <x:c r="A20" s="13" t="str">
        <x:v>Fuente</x:v>
      </x:c>
      <x:c r="B20" s="13" t="str">
        <x:v>URL</x:v>
      </x:c>
    </x:row>
    <x:row r="21">
      <x:c r="A21" s="24" t="str">
        <x:v>WID - Espana</x:v>
      </x:c>
      <x:c r="B21" s="39" t="str">
        <x:v>https://wid.world/country/spain/</x:v>
      </x:c>
    </x:row>
    <x:row r="22">
      <x:c r="A22" s="25" t="str">
        <x:v>WID - descarga completa Espana</x:v>
      </x:c>
      <x:c r="B22" s="40" t="str">
        <x:v>https://wid.world/bulk_download/WID_data_ES.csv</x:v>
      </x:c>
    </x:row>
    <x:row r="23">
      <x:c r="A23" s="25" t="str">
        <x:v>WID - diccionario de codigos</x:v>
      </x:c>
      <x:c r="B23" s="40" t="str">
        <x:v>https://wid.world/codes-dictionary/</x:v>
      </x:c>
    </x:row>
    <x:row r="24">
      <x:c r="A24" s="25" t="str">
        <x:v>FEDEA - Observatorio y anexos</x:v>
      </x:c>
      <x:c r="B24" s="40" t="str">
        <x:v>https://fedea.net/documentos-hacienda-publica/</x:v>
      </x:c>
    </x:row>
    <x:row r="25">
      <x:c r="A25" s="25" t="str">
        <x:v>FEDEA - informe 2023</x:v>
      </x:c>
      <x:c r="B25" s="40" t="str">
        <x:v>https://documentos.fedea.net/pubs/eee/2026/eee2026-13.pdf</x:v>
      </x:c>
    </x:row>
    <x:row r="26">
      <x:c r="A26" s="25" t="str">
        <x:v>INE - microdatos ECV</x:v>
      </x:c>
      <x:c r="B26" s="40" t="str">
        <x:v>https://www.ine.es/dyngs/INEbase/es/operacion.htm?c=Estadistica_C&amp;cid=1254736176807&amp;idp=1254735976608&amp;menu=resultados</x:v>
      </x:c>
    </x:row>
    <x:row r="27">
      <x:c r="A27" s="25" t="str">
        <x:v>Eurostat - cuantiles</x:v>
      </x:c>
      <x:c r="B27" s="40" t="str">
        <x:v>https://ec.europa.eu/eurostat/databrowser/view/ilc_di01/default/table</x:v>
      </x:c>
    </x:row>
    <x:row r="28">
      <x:c r="A28" s="25" t="str">
        <x:v>Eurostat - media equivalente</x:v>
      </x:c>
      <x:c r="B28" s="40" t="str">
        <x:v>https://ec.europa.eu/eurostat/databrowser/view/ilc_di03/default/table</x:v>
      </x:c>
    </x:row>
    <x:row r="29">
      <x:c r="A29" s="26" t="str">
        <x:v>Archivo aportado</x:v>
      </x:c>
      <x:c r="B29" s="41" t="str">
        <x:v>Anexo_Observatorio_Impuestos_2022_2021_IS_sinvinculos.xlsx</x:v>
      </x:c>
    </x:row>
  </x:sheetData>
  <x:mergeCells>
    <x:mergeCell ref="A1:H1"/>
    <x:mergeCell ref="A2:H2"/>
    <x:mergeCell ref="A4:H4"/>
    <x:mergeCell ref="A12:H12"/>
    <x:mergeCell ref="A13:H13"/>
    <x:mergeCell ref="A14:H14"/>
    <x:mergeCell ref="A15:H15"/>
    <x:mergeCell ref="A16:H16"/>
    <x:mergeCell ref="A17:H17"/>
    <x:mergeCell ref="A18:H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7" hidden="0" customWidth="1"/>
    <x:col min="3" max="3" width="17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2" hidden="0" customWidth="1"/>
    <x:col min="16" max="16" width="34" hidden="0" customWidth="1"/>
  </x:cols>
  <x:sheetData>
    <x:row r="1" ht="28" customHeight="1">
      <x:c r="A1" s="3" t="str">
        <x:v>Espana: renta media por quintiles, 1990-2023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 ht="34" customHeight="1">
      <x:c r="A2" s="7" t="str">
        <x:v>Serie anual completa WID. Unidad: adulto de 20 o mas anos, renta nacional antes de impuestos repartida por igual dentro de la pareja/hogar; no es sueldo individual ni renta bruta media del hogar FEDEA.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</x:row>
    <x:row r="4" ht="36" customHeight="1">
      <x:c r="A4" s="13" t="str">
        <x:v>Ano</x:v>
      </x:c>
      <x:c r="B4" s="13" t="str">
        <x:v>Indice precios (2025=1)</x:v>
      </x:c>
      <x:c r="C4" s="13" t="str">
        <x:v>Total, euros de 2025</x:v>
      </x:c>
      <x:c r="D4" s="13" t="str">
        <x:v>Q1, euros de 2025</x:v>
      </x:c>
      <x:c r="E4" s="13" t="str">
        <x:v>Q2, euros de 2025</x:v>
      </x:c>
      <x:c r="F4" s="13" t="str">
        <x:v>Q3, euros de 2025</x:v>
      </x:c>
      <x:c r="G4" s="13" t="str">
        <x:v>Q4, euros de 2025</x:v>
      </x:c>
      <x:c r="H4" s="13" t="str">
        <x:v>Q5, euros de 2025</x:v>
      </x:c>
      <x:c r="I4" s="13" t="str">
        <x:v>Total, euros corrientes</x:v>
      </x:c>
      <x:c r="J4" s="13" t="str">
        <x:v>Q1, euros corrientes</x:v>
      </x:c>
      <x:c r="K4" s="13" t="str">
        <x:v>Q2, euros corrientes</x:v>
      </x:c>
      <x:c r="L4" s="13" t="str">
        <x:v>Q3, euros corrientes</x:v>
      </x:c>
      <x:c r="M4" s="13" t="str">
        <x:v>Q4, euros corrientes</x:v>
      </x:c>
      <x:c r="N4" s="13" t="str">
        <x:v>Q5, euros corrientes</x:v>
      </x:c>
      <x:c r="O4" s="13" t="str">
        <x:v>Calidad WID</x:v>
      </x:c>
      <x:c r="P4" s="13" t="str">
        <x:v>Fuente URL</x:v>
      </x:c>
    </x:row>
    <x:row r="5">
      <x:c r="A5" s="24" t="n">
        <x:f>'WID_raw'!A5</x:f>
        <x:v>1990</x:v>
      </x:c>
      <x:c r="B5" s="27" t="n">
        <x:f>'WID_raw'!B5</x:f>
        <x:v>0.3834484815597534</x:v>
      </x:c>
      <x:c r="C5" s="30" t="n">
        <x:f>'WID_raw'!C5</x:f>
        <x:v>26513.7</x:v>
      </x:c>
      <x:c r="D5" s="30" t="n">
        <x:f>'WID_raw'!D5</x:f>
        <x:v>3689.9</x:v>
      </x:c>
      <x:c r="E5" s="30" t="n">
        <x:f>('WID_raw'!E5*'Parametros'!$B$6-'WID_raw'!D5*'Parametros'!$B$5)/('Parametros'!$B$6-'Parametros'!$B$5)</x:f>
        <x:v>12812.7</x:v>
      </x:c>
      <x:c r="F5" s="30" t="n">
        <x:f>('WID_raw'!F5*'Parametros'!$B$7-'WID_raw'!E5*'Parametros'!$B$6)/('Parametros'!$B$7-'Parametros'!$B$6)</x:f>
        <x:v>18946.6</x:v>
      </x:c>
      <x:c r="G5" s="30" t="n">
        <x:f>('WID_raw'!G5*'Parametros'!$B$8-'WID_raw'!F5*'Parametros'!$B$7)/('Parametros'!$B$8-'Parametros'!$B$7)</x:f>
        <x:v>27762.800000000003</x:v>
      </x:c>
      <x:c r="H5" s="30" t="n">
        <x:f>'WID_raw'!H5</x:f>
        <x:v>69356.40000000001</x:v>
      </x:c>
      <x:c r="I5" s="30" t="n">
        <x:f>C5*B5</x:f>
        <x:v>10166.638005530835</x:v>
      </x:c>
      <x:c r="J5" s="30" t="n">
        <x:f>D5*B5</x:f>
        <x:v>1414.8865521073342</x:v>
      </x:c>
      <x:c r="K5" s="30" t="n">
        <x:f>E5*B5</x:f>
        <x:v>4913.010359680653</x:v>
      </x:c>
      <x:c r="L5" s="30" t="n">
        <x:f>F5*B5</x:f>
        <x:v>7265.045000720023</x:v>
      </x:c>
      <x:c r="M5" s="30" t="n">
        <x:f>G5*B5</x:f>
        <x:v>10645.603503847124</x:v>
      </x:c>
      <x:c r="N5" s="30" t="n">
        <x:f>H5*B5</x:f>
        <x:v>26594.606266450886</x:v>
      </x:c>
      <x:c r="O5" s="36" t="n">
        <x:f>'WID_raw'!AA5</x:f>
        <x:v>4</x:v>
      </x:c>
      <x:c r="P5" s="39" t="str">
        <x:f>'WID_raw'!AB5</x:f>
        <x:v>https://wid.world/bulk_download/WID_data_ES.csv</x:v>
      </x:c>
    </x:row>
    <x:row r="6">
      <x:c r="A6" s="25" t="n">
        <x:f>'WID_raw'!A6</x:f>
        <x:v>1991</x:v>
      </x:c>
      <x:c r="B6" s="28" t="n">
        <x:f>'WID_raw'!B6</x:f>
        <x:v>0.4100412130355835</x:v>
      </x:c>
      <x:c r="C6" s="31" t="n">
        <x:f>'WID_raw'!C6</x:f>
        <x:v>26911.6</x:v>
      </x:c>
      <x:c r="D6" s="31" t="n">
        <x:f>'WID_raw'!D6</x:f>
        <x:v>3909.4</x:v>
      </x:c>
      <x:c r="E6" s="31" t="n">
        <x:f>('WID_raw'!E6*'Parametros'!$B$6-'WID_raw'!D6*'Parametros'!$B$5)/('Parametros'!$B$6-'Parametros'!$B$5)</x:f>
        <x:v>13132.800000000001</x:v>
      </x:c>
      <x:c r="F6" s="31" t="n">
        <x:f>('WID_raw'!F6*'Parametros'!$B$7-'WID_raw'!E6*'Parametros'!$B$6)/('Parametros'!$B$7-'Parametros'!$B$6)</x:f>
        <x:v>19481.3</x:v>
      </x:c>
      <x:c r="G6" s="31" t="n">
        <x:f>('WID_raw'!G6*'Parametros'!$B$8-'WID_raw'!F6*'Parametros'!$B$7)/('Parametros'!$B$8-'Parametros'!$B$7)</x:f>
        <x:v>28532.899999999994</x:v>
      </x:c>
      <x:c r="H6" s="31" t="n">
        <x:f>'WID_raw'!H6</x:f>
        <x:v>69501.7</x:v>
      </x:c>
      <x:c r="I6" s="31" t="n">
        <x:f>C6*B6</x:f>
        <x:v>11034.865108728409</x:v>
      </x:c>
      <x:c r="J6" s="31" t="n">
        <x:f>D6*B6</x:f>
        <x:v>1603.0151182413101</x:v>
      </x:c>
      <x:c r="K6" s="31" t="n">
        <x:f>E6*B6</x:f>
        <x:v>5384.989242553711</x:v>
      </x:c>
      <x:c r="L6" s="31" t="n">
        <x:f>F6*B6</x:f>
        <x:v>7988.135883510113</x:v>
      </x:c>
      <x:c r="M6" s="31" t="n">
        <x:f>G6*B6</x:f>
        <x:v>11699.664927422999</x:v>
      </x:c>
      <x:c r="N6" s="31" t="n">
        <x:f>H6*B6</x:f>
        <x:v>28498.561376035213</x:v>
      </x:c>
      <x:c r="O6" s="37" t="n">
        <x:f>'WID_raw'!AA6</x:f>
        <x:v>4</x:v>
      </x:c>
      <x:c r="P6" s="40" t="str">
        <x:f>'WID_raw'!AB6</x:f>
        <x:v>https://wid.world/bulk_download/WID_data_ES.csv</x:v>
      </x:c>
    </x:row>
    <x:row r="7">
      <x:c r="A7" s="25" t="n">
        <x:f>'WID_raw'!A7</x:f>
        <x:v>1992</x:v>
      </x:c>
      <x:c r="B7" s="28" t="n">
        <x:f>'WID_raw'!B7</x:f>
        <x:v>0.437558114528656</x:v>
      </x:c>
      <x:c r="C7" s="31" t="n">
        <x:f>'WID_raw'!C7</x:f>
        <x:v>26758.7</x:v>
      </x:c>
      <x:c r="D7" s="31" t="n">
        <x:f>'WID_raw'!D7</x:f>
        <x:v>3934.4</x:v>
      </x:c>
      <x:c r="E7" s="31" t="n">
        <x:f>('WID_raw'!E7*'Parametros'!$B$6-'WID_raw'!D7*'Parametros'!$B$5)/('Parametros'!$B$6-'Parametros'!$B$5)</x:f>
        <x:v>13320.800000000001</x:v>
      </x:c>
      <x:c r="F7" s="31" t="n">
        <x:f>('WID_raw'!F7*'Parametros'!$B$7-'WID_raw'!E7*'Parametros'!$B$6)/('Parametros'!$B$7-'Parametros'!$B$6)</x:f>
        <x:v>19734.5</x:v>
      </x:c>
      <x:c r="G7" s="31" t="n">
        <x:f>('WID_raw'!G7*'Parametros'!$B$8-'WID_raw'!F7*'Parametros'!$B$7)/('Parametros'!$B$8-'Parametros'!$B$7)</x:f>
        <x:v>28725.499999999996</x:v>
      </x:c>
      <x:c r="H7" s="31" t="n">
        <x:f>'WID_raw'!H7</x:f>
        <x:v>68078.40000000001</x:v>
      </x:c>
      <x:c r="I7" s="31" t="n">
        <x:f>C7*B7</x:f>
        <x:v>11708.486319237947</x:v>
      </x:c>
      <x:c r="J7" s="31" t="n">
        <x:f>D7*B7</x:f>
        <x:v>1721.5286458015441</x:v>
      </x:c>
      <x:c r="K7" s="31" t="n">
        <x:f>E7*B7</x:f>
        <x:v>5828.624132013321</x:v>
      </x:c>
      <x:c r="L7" s="31" t="n">
        <x:f>F7*B7</x:f>
        <x:v>8634.990611165762</x:v>
      </x:c>
      <x:c r="M7" s="31" t="n">
        <x:f>G7*B7</x:f>
        <x:v>12569.075618892906</x:v>
      </x:c>
      <x:c r="N7" s="31" t="n">
        <x:f>H7*B7</x:f>
        <x:v>29788.256344127658</x:v>
      </x:c>
      <x:c r="O7" s="37" t="n">
        <x:f>'WID_raw'!AA7</x:f>
        <x:v>4</x:v>
      </x:c>
      <x:c r="P7" s="40" t="str">
        <x:f>'WID_raw'!AB7</x:f>
        <x:v>https://wid.world/bulk_download/WID_data_ES.csv</x:v>
      </x:c>
    </x:row>
    <x:row r="8">
      <x:c r="A8" s="25" t="n">
        <x:f>'WID_raw'!A8</x:f>
        <x:v>1993</x:v>
      </x:c>
      <x:c r="B8" s="28" t="n">
        <x:f>'WID_raw'!B8</x:f>
        <x:v>0.4574111104011536</x:v>
      </x:c>
      <x:c r="C8" s="31" t="n">
        <x:f>'WID_raw'!C8</x:f>
        <x:v>25981.9</x:v>
      </x:c>
      <x:c r="D8" s="31" t="n">
        <x:f>'WID_raw'!D8</x:f>
        <x:v>3876.2</x:v>
      </x:c>
      <x:c r="E8" s="31" t="n">
        <x:f>('WID_raw'!E8*'Parametros'!$B$6-'WID_raw'!D8*'Parametros'!$B$5)/('Parametros'!$B$6-'Parametros'!$B$5)</x:f>
        <x:v>13117.400000000001</x:v>
      </x:c>
      <x:c r="F8" s="31" t="n">
        <x:f>('WID_raw'!F8*'Parametros'!$B$7-'WID_raw'!E8*'Parametros'!$B$6)/('Parametros'!$B$7-'Parametros'!$B$6)</x:f>
        <x:v>19512.8</x:v>
      </x:c>
      <x:c r="G8" s="31" t="n">
        <x:f>('WID_raw'!G8*'Parametros'!$B$8-'WID_raw'!F8*'Parametros'!$B$7)/('Parametros'!$B$8-'Parametros'!$B$7)</x:f>
        <x:v>28243.59999999999</x:v>
      </x:c>
      <x:c r="H8" s="31" t="n">
        <x:f>'WID_raw'!H8</x:f>
        <x:v>65159.60000000001</x:v>
      </x:c>
      <x:c r="I8" s="31" t="n">
        <x:f>C8*B8</x:f>
        <x:v>11884.409729331734</x:v>
      </x:c>
      <x:c r="J8" s="31" t="n">
        <x:f>D8*B8</x:f>
        <x:v>1773.0169461369517</x:v>
      </x:c>
      <x:c r="K8" s="31" t="n">
        <x:f>E8*B8</x:f>
        <x:v>6000.044499576094</x:v>
      </x:c>
      <x:c r="L8" s="31" t="n">
        <x:f>F8*B8</x:f>
        <x:v>8925.37151503563</x:v>
      </x:c>
      <x:c r="M8" s="31" t="n">
        <x:f>G8*B8</x:f>
        <x:v>12918.936437726019</x:v>
      </x:c>
      <x:c r="N8" s="31" t="n">
        <x:f>H8*B8</x:f>
        <x:v>29804.724989295017</x:v>
      </x:c>
      <x:c r="O8" s="37" t="n">
        <x:f>'WID_raw'!AA8</x:f>
        <x:v>4</x:v>
      </x:c>
      <x:c r="P8" s="40" t="str">
        <x:f>'WID_raw'!AB8</x:f>
        <x:v>https://wid.world/bulk_download/WID_data_ES.csv</x:v>
      </x:c>
    </x:row>
    <x:row r="9">
      <x:c r="A9" s="25" t="n">
        <x:f>'WID_raw'!A9</x:f>
        <x:v>1994</x:v>
      </x:c>
      <x:c r="B9" s="28" t="n">
        <x:f>'WID_raw'!B9</x:f>
        <x:v>0.4751578569412231</x:v>
      </x:c>
      <x:c r="C9" s="31" t="n">
        <x:f>'WID_raw'!C9</x:f>
        <x:v>25964</x:v>
      </x:c>
      <x:c r="D9" s="31" t="n">
        <x:f>'WID_raw'!D9</x:f>
        <x:v>3750.7</x:v>
      </x:c>
      <x:c r="E9" s="31" t="n">
        <x:f>('WID_raw'!E9*'Parametros'!$B$6-'WID_raw'!D9*'Parametros'!$B$5)/('Parametros'!$B$6-'Parametros'!$B$5)</x:f>
        <x:v>12871.300000000001</x:v>
      </x:c>
      <x:c r="F9" s="31" t="n">
        <x:f>('WID_raw'!F9*'Parametros'!$B$7-'WID_raw'!E9*'Parametros'!$B$6)/('Parametros'!$B$7-'Parametros'!$B$6)</x:f>
        <x:v>19290.100000000006</x:v>
      </x:c>
      <x:c r="G9" s="31" t="n">
        <x:f>('WID_raw'!G9*'Parametros'!$B$8-'WID_raw'!F9*'Parametros'!$B$7)/('Parametros'!$B$8-'Parametros'!$B$7)</x:f>
        <x:v>28146.7</x:v>
      </x:c>
      <x:c r="H9" s="31" t="n">
        <x:f>'WID_raw'!H9</x:f>
        <x:v>65761.3</x:v>
      </x:c>
      <x:c r="I9" s="31" t="n">
        <x:f>C9*B9</x:f>
        <x:v>12336.998597621916</x:v>
      </x:c>
      <x:c r="J9" s="31" t="n">
        <x:f>D9*B9</x:f>
        <x:v>1782.1745740294455</x:v>
      </x:c>
      <x:c r="K9" s="31" t="n">
        <x:f>E9*B9</x:f>
        <x:v>6115.899324047566</x:v>
      </x:c>
      <x:c r="L9" s="31" t="n">
        <x:f>F9*B9</x:f>
        <x:v>9165.84257618189</x:v>
      </x:c>
      <x:c r="M9" s="31" t="n">
        <x:f>G9*B9</x:f>
        <x:v>13374.125651967524</x:v>
      </x:c>
      <x:c r="N9" s="31" t="n">
        <x:f>H9*B9</x:f>
        <x:v>31246.998377668857</x:v>
      </x:c>
      <x:c r="O9" s="37" t="n">
        <x:f>'WID_raw'!AA9</x:f>
        <x:v>4</x:v>
      </x:c>
      <x:c r="P9" s="40" t="str">
        <x:f>'WID_raw'!AB9</x:f>
        <x:v>https://wid.world/bulk_download/WID_data_ES.csv</x:v>
      </x:c>
    </x:row>
    <x:row r="10">
      <x:c r="A10" s="25" t="n">
        <x:f>'WID_raw'!A10</x:f>
        <x:v>1995</x:v>
      </x:c>
      <x:c r="B10" s="28" t="n">
        <x:f>'WID_raw'!B10</x:f>
        <x:v>0.4985981583595276</x:v>
      </x:c>
      <x:c r="C10" s="31" t="n">
        <x:f>'WID_raw'!C10</x:f>
        <x:v>26426</x:v>
      </x:c>
      <x:c r="D10" s="31" t="n">
        <x:f>'WID_raw'!D10</x:f>
        <x:v>3697.3</x:v>
      </x:c>
      <x:c r="E10" s="31" t="n">
        <x:f>('WID_raw'!E10*'Parametros'!$B$6-'WID_raw'!D10*'Parametros'!$B$5)/('Parametros'!$B$6-'Parametros'!$B$5)</x:f>
        <x:v>12959.900000000001</x:v>
      </x:c>
      <x:c r="F10" s="31" t="n">
        <x:f>('WID_raw'!F10*'Parametros'!$B$7-'WID_raw'!E10*'Parametros'!$B$6)/('Parametros'!$B$7-'Parametros'!$B$6)</x:f>
        <x:v>19520.400000000005</x:v>
      </x:c>
      <x:c r="G10" s="31" t="n">
        <x:f>('WID_raw'!G10*'Parametros'!$B$8-'WID_raw'!F10*'Parametros'!$B$7)/('Parametros'!$B$8-'Parametros'!$B$7)</x:f>
        <x:v>28583.999999999985</x:v>
      </x:c>
      <x:c r="H10" s="31" t="n">
        <x:f>'WID_raw'!H10</x:f>
        <x:v>67368.2</x:v>
      </x:c>
      <x:c r="I10" s="31" t="n">
        <x:f>C10*B10</x:f>
        <x:v>13175.954932808876</x:v>
      </x:c>
      <x:c r="J10" s="31" t="n">
        <x:f>D10*B10</x:f>
        <x:v>1843.4669709026814</x:v>
      </x:c>
      <x:c r="K10" s="31" t="n">
        <x:f>E10*B10</x:f>
        <x:v>6461.782272523642</x:v>
      </x:c>
      <x:c r="L10" s="31" t="n">
        <x:f>F10*B10</x:f>
        <x:v>9732.835490441325</x:v>
      </x:c>
      <x:c r="M10" s="31" t="n">
        <x:f>G10*B10</x:f>
        <x:v>14251.92975854873</x:v>
      </x:c>
      <x:c r="N10" s="31" t="n">
        <x:f>H10*B10</x:f>
        <x:v>33589.66045199632</x:v>
      </x:c>
      <x:c r="O10" s="37" t="n">
        <x:f>'WID_raw'!AA10</x:f>
        <x:v>4</x:v>
      </x:c>
      <x:c r="P10" s="40" t="str">
        <x:f>'WID_raw'!AB10</x:f>
        <x:v>https://wid.world/bulk_download/WID_data_ES.csv</x:v>
      </x:c>
    </x:row>
    <x:row r="11">
      <x:c r="A11" s="25" t="n">
        <x:f>'WID_raw'!A11</x:f>
        <x:v>1996</x:v>
      </x:c>
      <x:c r="B11" s="28" t="n">
        <x:f>'WID_raw'!B11</x:f>
        <x:v>0.5162149667739868</x:v>
      </x:c>
      <x:c r="C11" s="31" t="n">
        <x:f>'WID_raw'!C11</x:f>
        <x:v>26689.4</x:v>
      </x:c>
      <x:c r="D11" s="31" t="n">
        <x:f>'WID_raw'!D11</x:f>
        <x:v>3873.5</x:v>
      </x:c>
      <x:c r="E11" s="31" t="n">
        <x:f>('WID_raw'!E11*'Parametros'!$B$6-'WID_raw'!D11*'Parametros'!$B$5)/('Parametros'!$B$6-'Parametros'!$B$5)</x:f>
        <x:v>13219.299999999997</x:v>
      </x:c>
      <x:c r="F11" s="31" t="n">
        <x:f>('WID_raw'!F11*'Parametros'!$B$7-'WID_raw'!E11*'Parametros'!$B$6)/('Parametros'!$B$7-'Parametros'!$B$6)</x:f>
        <x:v>19665.000000000007</x:v>
      </x:c>
      <x:c r="G11" s="31" t="n">
        <x:f>('WID_raw'!G11*'Parametros'!$B$8-'WID_raw'!F11*'Parametros'!$B$7)/('Parametros'!$B$8-'Parametros'!$B$7)</x:f>
        <x:v>28822.599999999988</x:v>
      </x:c>
      <x:c r="H11" s="31" t="n">
        <x:f>'WID_raw'!H11</x:f>
        <x:v>67866.3</x:v>
      </x:c>
      <x:c r="I11" s="31" t="n">
        <x:f>C11*B11</x:f>
        <x:v>13777.467734217644</x:v>
      </x:c>
      <x:c r="J11" s="31" t="n">
        <x:f>D11*B11</x:f>
        <x:v>1999.558673799038</x:v>
      </x:c>
      <x:c r="K11" s="31" t="n">
        <x:f>E11*B11</x:f>
        <x:v>6824.000510275363</x:v>
      </x:c>
      <x:c r="L11" s="31" t="n">
        <x:f>F11*B11</x:f>
        <x:v>10151.367321610454</x:v>
      </x:c>
      <x:c r="M11" s="31" t="n">
        <x:f>G11*B11</x:f>
        <x:v>14878.657501339905</x:v>
      </x:c>
      <x:c r="N11" s="31" t="n">
        <x:f>H11*B11</x:f>
        <x:v>35033.59979957342</x:v>
      </x:c>
      <x:c r="O11" s="37" t="n">
        <x:f>'WID_raw'!AA11</x:f>
        <x:v>4</x:v>
      </x:c>
      <x:c r="P11" s="40" t="str">
        <x:f>'WID_raw'!AB11</x:f>
        <x:v>https://wid.world/bulk_download/WID_data_ES.csv</x:v>
      </x:c>
    </x:row>
    <x:row r="12">
      <x:c r="A12" s="25" t="n">
        <x:f>'WID_raw'!A12</x:f>
        <x:v>1997</x:v>
      </x:c>
      <x:c r="B12" s="28" t="n">
        <x:f>'WID_raw'!B12</x:f>
        <x:v>0.5289396643638611</x:v>
      </x:c>
      <x:c r="C12" s="31" t="n">
        <x:f>'WID_raw'!C12</x:f>
        <x:v>27190.3</x:v>
      </x:c>
      <x:c r="D12" s="31" t="n">
        <x:f>'WID_raw'!D12</x:f>
        <x:v>4046.1</x:v>
      </x:c>
      <x:c r="E12" s="31" t="n">
        <x:f>('WID_raw'!E12*'Parametros'!$B$6-'WID_raw'!D12*'Parametros'!$B$5)/('Parametros'!$B$6-'Parametros'!$B$5)</x:f>
        <x:v>13925.300000000001</x:v>
      </x:c>
      <x:c r="F12" s="31" t="n">
        <x:f>('WID_raw'!F12*'Parametros'!$B$7-'WID_raw'!E12*'Parametros'!$B$6)/('Parametros'!$B$7-'Parametros'!$B$6)</x:f>
        <x:v>20560.6</x:v>
      </x:c>
      <x:c r="G12" s="31" t="n">
        <x:f>('WID_raw'!G12*'Parametros'!$B$8-'WID_raw'!F12*'Parametros'!$B$7)/('Parametros'!$B$8-'Parametros'!$B$7)</x:f>
        <x:v>29796.399999999994</x:v>
      </x:c>
      <x:c r="H12" s="31" t="n">
        <x:f>'WID_raw'!H12</x:f>
        <x:v>67623.2</x:v>
      </x:c>
      <x:c r="I12" s="31" t="n">
        <x:f>C12*B12</x:f>
        <x:v>14382.028155952692</x:v>
      </x:c>
      <x:c r="J12" s="31" t="n">
        <x:f>D12*B12</x:f>
        <x:v>2140.1427759826183</x:v>
      </x:c>
      <x:c r="K12" s="31" t="n">
        <x:f>E12*B12</x:f>
        <x:v>7365.643508166076</x:v>
      </x:c>
      <x:c r="L12" s="31" t="n">
        <x:f>F12*B12</x:f>
        <x:v>10875.316863119602</x:v>
      </x:c>
      <x:c r="M12" s="31" t="n">
        <x:f>G12*B12</x:f>
        <x:v>15760.497815251347</x:v>
      </x:c>
      <x:c r="N12" s="31" t="n">
        <x:f>H12*B12</x:f>
        <x:v>35768.59271121025</x:v>
      </x:c>
      <x:c r="O12" s="37" t="n">
        <x:f>'WID_raw'!AA12</x:f>
        <x:v>4</x:v>
      </x:c>
      <x:c r="P12" s="40" t="str">
        <x:f>'WID_raw'!AB12</x:f>
        <x:v>https://wid.world/bulk_download/WID_data_ES.csv</x:v>
      </x:c>
    </x:row>
    <x:row r="13">
      <x:c r="A13" s="25" t="n">
        <x:f>'WID_raw'!A13</x:f>
        <x:v>1998</x:v>
      </x:c>
      <x:c r="B13" s="28" t="n">
        <x:f>'WID_raw'!B13</x:f>
        <x:v>0.5428760647773743</x:v>
      </x:c>
      <x:c r="C13" s="31" t="n">
        <x:f>'WID_raw'!C13</x:f>
        <x:v>27977</x:v>
      </x:c>
      <x:c r="D13" s="31" t="n">
        <x:f>'WID_raw'!D13</x:f>
        <x:v>4216.5</x:v>
      </x:c>
      <x:c r="E13" s="31" t="n">
        <x:f>('WID_raw'!E13*'Parametros'!$B$6-'WID_raw'!D13*'Parametros'!$B$5)/('Parametros'!$B$6-'Parametros'!$B$5)</x:f>
        <x:v>14089.099999999999</x:v>
      </x:c>
      <x:c r="F13" s="31" t="n">
        <x:f>('WID_raw'!F13*'Parametros'!$B$7-'WID_raw'!E13*'Parametros'!$B$6)/('Parametros'!$B$7-'Parametros'!$B$6)</x:f>
        <x:v>20929.600000000002</x:v>
      </x:c>
      <x:c r="G13" s="31" t="n">
        <x:f>('WID_raw'!G13*'Parametros'!$B$8-'WID_raw'!F13*'Parametros'!$B$7)/('Parametros'!$B$8-'Parametros'!$B$7)</x:f>
        <x:v>30654.799999999996</x:v>
      </x:c>
      <x:c r="H13" s="31" t="n">
        <x:f>'WID_raw'!H13</x:f>
        <x:v>69994.7</x:v>
      </x:c>
      <x:c r="I13" s="31" t="n">
        <x:f>C13*B13</x:f>
        <x:v>15188.0436642766</x:v>
      </x:c>
      <x:c r="J13" s="31" t="n">
        <x:f>D13*B13</x:f>
        <x:v>2289.0369271337986</x:v>
      </x:c>
      <x:c r="K13" s="31" t="n">
        <x:f>E13*B13</x:f>
        <x:v>7648.635164254903</x:v>
      </x:c>
      <x:c r="L13" s="31" t="n">
        <x:f>F13*B13</x:f>
        <x:v>11362.178885364534</x:v>
      </x:c>
      <x:c r="M13" s="31" t="n">
        <x:f>G13*B13</x:f>
        <x:v>16641.75719053745</x:v>
      </x:c>
      <x:c r="N13" s="31" t="n">
        <x:f>H13*B13</x:f>
        <x:v>37998.447291272874</x:v>
      </x:c>
      <x:c r="O13" s="37" t="n">
        <x:f>'WID_raw'!AA13</x:f>
        <x:v>4</x:v>
      </x:c>
      <x:c r="P13" s="40" t="str">
        <x:f>'WID_raw'!AB13</x:f>
        <x:v>https://wid.world/bulk_download/WID_data_ES.csv</x:v>
      </x:c>
    </x:row>
    <x:row r="14">
      <x:c r="A14" s="25" t="n">
        <x:f>'WID_raw'!A14</x:f>
        <x:v>1999</x:v>
      </x:c>
      <x:c r="B14" s="28" t="n">
        <x:f>'WID_raw'!B14</x:f>
        <x:v>0.5570917725563049</x:v>
      </x:c>
      <x:c r="C14" s="31" t="n">
        <x:f>'WID_raw'!C14</x:f>
        <x:v>28608.7</x:v>
      </x:c>
      <x:c r="D14" s="31" t="n">
        <x:f>'WID_raw'!D14</x:f>
        <x:v>4195.1</x:v>
      </x:c>
      <x:c r="E14" s="31" t="n">
        <x:f>('WID_raw'!E14*'Parametros'!$B$6-'WID_raw'!D14*'Parametros'!$B$5)/('Parametros'!$B$6-'Parametros'!$B$5)</x:f>
        <x:v>14275.100000000002</x:v>
      </x:c>
      <x:c r="F14" s="31" t="n">
        <x:f>('WID_raw'!F14*'Parametros'!$B$7-'WID_raw'!E14*'Parametros'!$B$6)/('Parametros'!$B$7-'Parametros'!$B$6)</x:f>
        <x:v>21322.4</x:v>
      </x:c>
      <x:c r="G14" s="31" t="n">
        <x:f>('WID_raw'!G14*'Parametros'!$B$8-'WID_raw'!F14*'Parametros'!$B$7)/('Parametros'!$B$8-'Parametros'!$B$7)</x:f>
        <x:v>31248.999999999996</x:v>
      </x:c>
      <x:c r="H14" s="31" t="n">
        <x:f>'WID_raw'!H14</x:f>
        <x:v>72001.7</x:v>
      </x:c>
      <x:c r="I14" s="31" t="n">
        <x:f>C14*B14</x:f>
        <x:v>15937.671393531562</x:v>
      </x:c>
      <x:c r="J14" s="31" t="n">
        <x:f>D14*B14</x:f>
        <x:v>2337.055695050955</x:v>
      </x:c>
      <x:c r="K14" s="31" t="n">
        <x:f>E14*B14</x:f>
        <x:v>7952.54076241851</x:v>
      </x:c>
      <x:c r="L14" s="31" t="n">
        <x:f>F14*B14</x:f>
        <x:v>11878.533611154557</x:v>
      </x:c>
      <x:c r="M14" s="31" t="n">
        <x:f>G14*B14</x:f>
        <x:v>17408.56080061197</x:v>
      </x:c>
      <x:c r="N14" s="31" t="n">
        <x:f>H14*B14</x:f>
        <x:v>40111.5546800673</x:v>
      </x:c>
      <x:c r="O14" s="37" t="n">
        <x:f>'WID_raw'!AA14</x:f>
        <x:v>4</x:v>
      </x:c>
      <x:c r="P14" s="40" t="str">
        <x:f>'WID_raw'!AB14</x:f>
        <x:v>https://wid.world/bulk_download/WID_data_ES.csv</x:v>
      </x:c>
    </x:row>
    <x:row r="15">
      <x:c r="A15" s="25" t="n">
        <x:f>'WID_raw'!A15</x:f>
        <x:v>2000</x:v>
      </x:c>
      <x:c r="B15" s="28" t="n">
        <x:f>'WID_raw'!B15</x:f>
        <x:v>0.5761041045188904</x:v>
      </x:c>
      <x:c r="C15" s="31" t="n">
        <x:f>'WID_raw'!C15</x:f>
        <x:v>29763.4</x:v>
      </x:c>
      <x:c r="D15" s="31" t="n">
        <x:f>'WID_raw'!D15</x:f>
        <x:v>4520.6</x:v>
      </x:c>
      <x:c r="E15" s="31" t="n">
        <x:f>('WID_raw'!E15*'Parametros'!$B$6-'WID_raw'!D15*'Parametros'!$B$5)/('Parametros'!$B$6-'Parametros'!$B$5)</x:f>
        <x:v>15295</x:v>
      </x:c>
      <x:c r="F15" s="31" t="n">
        <x:f>('WID_raw'!F15*'Parametros'!$B$7-'WID_raw'!E15*'Parametros'!$B$6)/('Parametros'!$B$7-'Parametros'!$B$6)</x:f>
        <x:v>22674.300000000003</x:v>
      </x:c>
      <x:c r="G15" s="31" t="n">
        <x:f>('WID_raw'!G15*'Parametros'!$B$8-'WID_raw'!F15*'Parametros'!$B$7)/('Parametros'!$B$8-'Parametros'!$B$7)</x:f>
        <x:v>32466.899999999994</x:v>
      </x:c>
      <x:c r="H15" s="31" t="n">
        <x:f>'WID_raw'!H15</x:f>
        <x:v>73860.1</x:v>
      </x:c>
      <x:c r="I15" s="31" t="n">
        <x:f>C15*B15</x:f>
        <x:v>17146.816904437543</x:v>
      </x:c>
      <x:c r="J15" s="31" t="n">
        <x:f>D15*B15</x:f>
        <x:v>2604.336214888096</x:v>
      </x:c>
      <x:c r="K15" s="31" t="n">
        <x:f>E15*B15</x:f>
        <x:v>8811.512278616428</x:v>
      </x:c>
      <x:c r="L15" s="31" t="n">
        <x:f>F15*B15</x:f>
        <x:v>13062.757297092678</x:v>
      </x:c>
      <x:c r="M15" s="31" t="n">
        <x:f>G15*B15</x:f>
        <x:v>18704.31435100436</x:v>
      </x:c>
      <x:c r="N15" s="31" t="n">
        <x:f>H15*B15</x:f>
        <x:v>42551.1067701757</x:v>
      </x:c>
      <x:c r="O15" s="37" t="n">
        <x:f>'WID_raw'!AA15</x:f>
        <x:v>4</x:v>
      </x:c>
      <x:c r="P15" s="40" t="str">
        <x:f>'WID_raw'!AB15</x:f>
        <x:v>https://wid.world/bulk_download/WID_data_ES.csv</x:v>
      </x:c>
    </x:row>
    <x:row r="16">
      <x:c r="A16" s="25" t="n">
        <x:f>'WID_raw'!A16</x:f>
        <x:v>2001</x:v>
      </x:c>
      <x:c r="B16" s="28" t="n">
        <x:f>'WID_raw'!B16</x:f>
        <x:v>0.6000832319259644</x:v>
      </x:c>
      <x:c r="C16" s="31" t="n">
        <x:f>'WID_raw'!C16</x:f>
        <x:v>30390.1</x:v>
      </x:c>
      <x:c r="D16" s="31" t="n">
        <x:f>'WID_raw'!D16</x:f>
        <x:v>4607.400000000001</x:v>
      </x:c>
      <x:c r="E16" s="31" t="n">
        <x:f>('WID_raw'!E16*'Parametros'!$B$6-'WID_raw'!D16*'Parametros'!$B$5)/('Parametros'!$B$6-'Parametros'!$B$5)</x:f>
        <x:v>15726.6</x:v>
      </x:c>
      <x:c r="F16" s="31" t="n">
        <x:f>('WID_raw'!F16*'Parametros'!$B$7-'WID_raw'!E16*'Parametros'!$B$6)/('Parametros'!$B$7-'Parametros'!$B$6)</x:f>
        <x:v>23297.700000000004</x:v>
      </x:c>
      <x:c r="G16" s="31" t="n">
        <x:f>('WID_raw'!G16*'Parametros'!$B$8-'WID_raw'!F16*'Parametros'!$B$7)/('Parametros'!$B$8-'Parametros'!$B$7)</x:f>
        <x:v>33597.899999999994</x:v>
      </x:c>
      <x:c r="H16" s="31" t="n">
        <x:f>'WID_raw'!H16</x:f>
        <x:v>74720.90000000001</x:v>
      </x:c>
      <x:c r="I16" s="31" t="n">
        <x:f>C16*B16</x:f>
        <x:v>18236.589426553248</x:v>
      </x:c>
      <x:c r="J16" s="31" t="n">
        <x:f>D16*B16</x:f>
        <x:v>2764.8234827756887</x:v>
      </x:c>
      <x:c r="K16" s="31" t="n">
        <x:f>E16*B16</x:f>
        <x:v>9437.268955206871</x:v>
      </x:c>
      <x:c r="L16" s="31" t="n">
        <x:f>F16*B16</x:f>
        <x:v>13980.559112441542</x:v>
      </x:c>
      <x:c r="M16" s="31" t="n">
        <x:f>G16*B16</x:f>
        <x:v>20161.536417925356</x:v>
      </x:c>
      <x:c r="N16" s="31" t="n">
        <x:f>H16*B16</x:f>
        <x:v>44838.7591644168</x:v>
      </x:c>
      <x:c r="O16" s="37" t="n">
        <x:f>'WID_raw'!AA16</x:f>
        <x:v>4</x:v>
      </x:c>
      <x:c r="P16" s="40" t="str">
        <x:f>'WID_raw'!AB16</x:f>
        <x:v>https://wid.world/bulk_download/WID_data_ES.csv</x:v>
      </x:c>
    </x:row>
    <x:row r="17">
      <x:c r="A17" s="25" t="n">
        <x:f>'WID_raw'!A17</x:f>
        <x:v>2002</x:v>
      </x:c>
      <x:c r="B17" s="28" t="n">
        <x:f>'WID_raw'!B17</x:f>
        <x:v>0.6246368288993835</x:v>
      </x:c>
      <x:c r="C17" s="31" t="n">
        <x:f>'WID_raw'!C17</x:f>
        <x:v>30727.4</x:v>
      </x:c>
      <x:c r="D17" s="31" t="n">
        <x:f>'WID_raw'!D17</x:f>
        <x:v>4734.900000000001</x:v>
      </x:c>
      <x:c r="E17" s="31" t="n">
        <x:f>('WID_raw'!E17*'Parametros'!$B$6-'WID_raw'!D17*'Parametros'!$B$5)/('Parametros'!$B$6-'Parametros'!$B$5)</x:f>
        <x:v>15987.900000000001</x:v>
      </x:c>
      <x:c r="F17" s="31" t="n">
        <x:f>('WID_raw'!F17*'Parametros'!$B$7-'WID_raw'!E17*'Parametros'!$B$6)/('Parametros'!$B$7-'Parametros'!$B$6)</x:f>
        <x:v>23515.8</x:v>
      </x:c>
      <x:c r="G17" s="31" t="n">
        <x:f>('WID_raw'!G17*'Parametros'!$B$8-'WID_raw'!F17*'Parametros'!$B$7)/('Parametros'!$B$8-'Parametros'!$B$7)</x:f>
        <x:v>33747.79999999999</x:v>
      </x:c>
      <x:c r="H17" s="31" t="n">
        <x:f>'WID_raw'!H17</x:f>
        <x:v>75650.6</x:v>
      </x:c>
      <x:c r="I17" s="31" t="n">
        <x:f>C17*B17</x:f>
        <x:v>19193.465696322917</x:v>
      </x:c>
      <x:c r="J17" s="31" t="n">
        <x:f>D17*B17</x:f>
        <x:v>2957.5929211556913</x:v>
      </x:c>
      <x:c r="K17" s="31" t="n">
        <x:f>E17*B17</x:f>
        <x:v>9986.631156760455</x:v>
      </x:c>
      <x:c r="L17" s="31" t="n">
        <x:f>F17*B17</x:f>
        <x:v>14688.834741032124</x:v>
      </x:c>
      <x:c r="M17" s="31" t="n">
        <x:f>G17*B17</x:f>
        <x:v>21080.118774330607</x:v>
      </x:c>
      <x:c r="N17" s="31" t="n">
        <x:f>H17*B17</x:f>
        <x:v>47254.15088833571</x:v>
      </x:c>
      <x:c r="O17" s="37" t="n">
        <x:f>'WID_raw'!AA17</x:f>
        <x:v>4</x:v>
      </x:c>
      <x:c r="P17" s="40" t="str">
        <x:f>'WID_raw'!AB17</x:f>
        <x:v>https://wid.world/bulk_download/WID_data_ES.csv</x:v>
      </x:c>
    </x:row>
    <x:row r="18">
      <x:c r="A18" s="25" t="n">
        <x:f>'WID_raw'!A18</x:f>
        <x:v>2003</x:v>
      </x:c>
      <x:c r="B18" s="28" t="n">
        <x:f>'WID_raw'!B18</x:f>
        <x:v>0.6496471762657166</x:v>
      </x:c>
      <x:c r="C18" s="31" t="n">
        <x:f>'WID_raw'!C18</x:f>
        <x:v>31062.5</x:v>
      </x:c>
      <x:c r="D18" s="31" t="n">
        <x:f>'WID_raw'!D18</x:f>
        <x:v>4802.3</x:v>
      </x:c>
      <x:c r="E18" s="31" t="n">
        <x:f>('WID_raw'!E18*'Parametros'!$B$6-'WID_raw'!D18*'Parametros'!$B$5)/('Parametros'!$B$6-'Parametros'!$B$5)</x:f>
        <x:v>16001.5</x:v>
      </x:c>
      <x:c r="F18" s="31" t="n">
        <x:f>('WID_raw'!F18*'Parametros'!$B$7-'WID_raw'!E18*'Parametros'!$B$6)/('Parametros'!$B$7-'Parametros'!$B$6)</x:f>
        <x:v>23676.9</x:v>
      </x:c>
      <x:c r="G18" s="31" t="n">
        <x:f>('WID_raw'!G18*'Parametros'!$B$8-'WID_raw'!F18*'Parametros'!$B$7)/('Parametros'!$B$8-'Parametros'!$B$7)</x:f>
        <x:v>33968.49999999999</x:v>
      </x:c>
      <x:c r="H18" s="31" t="n">
        <x:f>'WID_raw'!H18</x:f>
        <x:v>76863.40000000001</x:v>
      </x:c>
      <x:c r="I18" s="31" t="n">
        <x:f>C18*B18</x:f>
        <x:v>20179.66541275382</x:v>
      </x:c>
      <x:c r="J18" s="31" t="n">
        <x:f>D18*B18</x:f>
        <x:v>3119.800634580851</x:v>
      </x:c>
      <x:c r="K18" s="31" t="n">
        <x:f>E18*B18</x:f>
        <x:v>10395.329291015863</x:v>
      </x:c>
      <x:c r="L18" s="31" t="n">
        <x:f>F18*B18</x:f>
        <x:v>15381.631227725746</x:v>
      </x:c>
      <x:c r="M18" s="31" t="n">
        <x:f>G18*B18</x:f>
        <x:v>22067.54010698199</x:v>
      </x:c>
      <x:c r="N18" s="31" t="n">
        <x:f>H18*B18</x:f>
        <x:v>49934.09076818229</x:v>
      </x:c>
      <x:c r="O18" s="37" t="n">
        <x:f>'WID_raw'!AA18</x:f>
        <x:v>4</x:v>
      </x:c>
      <x:c r="P18" s="40" t="str">
        <x:f>'WID_raw'!AB18</x:f>
        <x:v>https://wid.world/bulk_download/WID_data_ES.csv</x:v>
      </x:c>
    </x:row>
    <x:row r="19">
      <x:c r="A19" s="25" t="n">
        <x:f>'WID_raw'!A19</x:f>
        <x:v>2004</x:v>
      </x:c>
      <x:c r="B19" s="28" t="n">
        <x:f>'WID_raw'!B19</x:f>
        <x:v>0.6750592589378357</x:v>
      </x:c>
      <x:c r="C19" s="31" t="n">
        <x:f>'WID_raw'!C19</x:f>
        <x:v>31197</x:v>
      </x:c>
      <x:c r="D19" s="31" t="n">
        <x:f>'WID_raw'!D19</x:f>
        <x:v>4856.2</x:v>
      </x:c>
      <x:c r="E19" s="31" t="n">
        <x:f>('WID_raw'!E19*'Parametros'!$B$6-'WID_raw'!D19*'Parametros'!$B$5)/('Parametros'!$B$6-'Parametros'!$B$5)</x:f>
        <x:v>16157.000000000002</x:v>
      </x:c>
      <x:c r="F19" s="31" t="n">
        <x:f>('WID_raw'!F19*'Parametros'!$B$7-'WID_raw'!E19*'Parametros'!$B$6)/('Parametros'!$B$7-'Parametros'!$B$6)</x:f>
        <x:v>23879.400000000005</x:v>
      </x:c>
      <x:c r="G19" s="31" t="n">
        <x:f>('WID_raw'!G19*'Parametros'!$B$8-'WID_raw'!F19*'Parametros'!$B$7)/('Parametros'!$B$8-'Parametros'!$B$7)</x:f>
        <x:v>34249.399999999994</x:v>
      </x:c>
      <x:c r="H19" s="31" t="n">
        <x:f>'WID_raw'!H19</x:f>
        <x:v>76843</x:v>
      </x:c>
      <x:c r="I19" s="31" t="n">
        <x:f>C19*B19</x:f>
        <x:v>21059.82370108366</x:v>
      </x:c>
      <x:c r="J19" s="31" t="n">
        <x:f>D19*B19</x:f>
        <x:v>3278.2227732539177</x:v>
      </x:c>
      <x:c r="K19" s="31" t="n">
        <x:f>E19*B19</x:f>
        <x:v>10906.932446658613</x:v>
      </x:c>
      <x:c r="L19" s="31" t="n">
        <x:f>F19*B19</x:f>
        <x:v>16120.010067880157</x:v>
      </x:c>
      <x:c r="M19" s="31" t="n">
        <x:f>G19*B19</x:f>
        <x:v>23120.374583065506</x:v>
      </x:c>
      <x:c r="N19" s="31" t="n">
        <x:f>H19*B19</x:f>
        <x:v>51873.57863456011</x:v>
      </x:c>
      <x:c r="O19" s="37" t="n">
        <x:f>'WID_raw'!AA19</x:f>
        <x:v>4</x:v>
      </x:c>
      <x:c r="P19" s="40" t="str">
        <x:f>'WID_raw'!AB19</x:f>
        <x:v>https://wid.world/bulk_download/WID_data_ES.csv</x:v>
      </x:c>
    </x:row>
    <x:row r="20">
      <x:c r="A20" s="25" t="n">
        <x:f>'WID_raw'!A20</x:f>
        <x:v>2005</x:v>
      </x:c>
      <x:c r="B20" s="28" t="n">
        <x:f>'WID_raw'!B20</x:f>
        <x:v>0.7034989595413208</x:v>
      </x:c>
      <x:c r="C20" s="31" t="n">
        <x:f>'WID_raw'!C20</x:f>
        <x:v>31578.7</x:v>
      </x:c>
      <x:c r="D20" s="31" t="n">
        <x:f>'WID_raw'!D20</x:f>
        <x:v>4888.2</x:v>
      </x:c>
      <x:c r="E20" s="31" t="n">
        <x:f>('WID_raw'!E20*'Parametros'!$B$6-'WID_raw'!D20*'Parametros'!$B$5)/('Parametros'!$B$6-'Parametros'!$B$5)</x:f>
        <x:v>16582.8</x:v>
      </x:c>
      <x:c r="F20" s="31" t="n">
        <x:f>('WID_raw'!F20*'Parametros'!$B$7-'WID_raw'!E20*'Parametros'!$B$6)/('Parametros'!$B$7-'Parametros'!$B$6)</x:f>
        <x:v>24286.2</x:v>
      </x:c>
      <x:c r="G20" s="31" t="n">
        <x:f>('WID_raw'!G20*'Parametros'!$B$8-'WID_raw'!F20*'Parametros'!$B$7)/('Parametros'!$B$8-'Parametros'!$B$7)</x:f>
        <x:v>34695.19999999999</x:v>
      </x:c>
      <x:c r="H20" s="31" t="n">
        <x:f>'WID_raw'!H20</x:f>
        <x:v>77440.90000000001</x:v>
      </x:c>
      <x:c r="I20" s="31" t="n">
        <x:f>C20*B20</x:f>
        <x:v>22215.582593667506</x:v>
      </x:c>
      <x:c r="J20" s="31" t="n">
        <x:f>D20*B20</x:f>
        <x:v>3438.843614029884</x:v>
      </x:c>
      <x:c r="K20" s="31" t="n">
        <x:f>E20*B20</x:f>
        <x:v>11665.982546281813</x:v>
      </x:c>
      <x:c r="L20" s="31" t="n">
        <x:f>F20*B20</x:f>
        <x:v>17085.316431212425</x:v>
      </x:c>
      <x:c r="M20" s="31" t="n">
        <x:f>G20*B20</x:f>
        <x:v>24408.037101078025</x:v>
      </x:c>
      <x:c r="N20" s="31" t="n">
        <x:f>H20*B20</x:f>
        <x:v>54479.592575943476</x:v>
      </x:c>
      <x:c r="O20" s="37" t="n">
        <x:f>'WID_raw'!AA20</x:f>
        <x:v>4</x:v>
      </x:c>
      <x:c r="P20" s="40" t="str">
        <x:f>'WID_raw'!AB20</x:f>
        <x:v>https://wid.world/bulk_download/WID_data_ES.csv</x:v>
      </x:c>
    </x:row>
    <x:row r="21">
      <x:c r="A21" s="25" t="n">
        <x:f>'WID_raw'!A21</x:f>
        <x:v>2006</x:v>
      </x:c>
      <x:c r="B21" s="28" t="n">
        <x:f>'WID_raw'!B21</x:f>
        <x:v>0.7321488857269287</x:v>
      </x:c>
      <x:c r="C21" s="31" t="n">
        <x:f>'WID_raw'!C21</x:f>
        <x:v>32079</x:v>
      </x:c>
      <x:c r="D21" s="31" t="n">
        <x:f>'WID_raw'!D21</x:f>
        <x:v>4999.700000000001</x:v>
      </x:c>
      <x:c r="E21" s="31" t="n">
        <x:f>('WID_raw'!E21*'Parametros'!$B$6-'WID_raw'!D21*'Parametros'!$B$5)/('Parametros'!$B$6-'Parametros'!$B$5)</x:f>
        <x:v>16838.5</x:v>
      </x:c>
      <x:c r="F21" s="31" t="n">
        <x:f>('WID_raw'!F21*'Parametros'!$B$7-'WID_raw'!E21*'Parametros'!$B$6)/('Parametros'!$B$7-'Parametros'!$B$6)</x:f>
        <x:v>24349.2</x:v>
      </x:c>
      <x:c r="G21" s="31" t="n">
        <x:f>('WID_raw'!G21*'Parametros'!$B$8-'WID_raw'!F21*'Parametros'!$B$7)/('Parametros'!$B$8-'Parametros'!$B$7)</x:f>
        <x:v>34482.99999999999</x:v>
      </x:c>
      <x:c r="H21" s="31" t="n">
        <x:f>'WID_raw'!H21</x:f>
        <x:v>79724.3</x:v>
      </x:c>
      <x:c r="I21" s="31" t="n">
        <x:f>C21*B21</x:f>
        <x:v>23486.604105234146</x:v>
      </x:c>
      <x:c r="J21" s="31" t="n">
        <x:f>D21*B21</x:f>
        <x:v>3660.524783968926</x:v>
      </x:c>
      <x:c r="K21" s="31" t="n">
        <x:f>E21*B21</x:f>
        <x:v>12328.28901231289</x:v>
      </x:c>
      <x:c r="L21" s="31" t="n">
        <x:f>F21*B21</x:f>
        <x:v>17827.239648342133</x:v>
      </x:c>
      <x:c r="M21" s="31" t="n">
        <x:f>G21*B21</x:f>
        <x:v>25246.69002652168</x:v>
      </x:c>
      <x:c r="N21" s="31" t="n">
        <x:f>H21*B21</x:f>
        <x:v>58370.05741035938</x:v>
      </x:c>
      <x:c r="O21" s="37" t="n">
        <x:f>'WID_raw'!AA21</x:f>
        <x:v>4</x:v>
      </x:c>
      <x:c r="P21" s="40" t="str">
        <x:f>'WID_raw'!AB21</x:f>
        <x:v>https://wid.world/bulk_download/WID_data_ES.csv</x:v>
      </x:c>
    </x:row>
    <x:row r="22">
      <x:c r="A22" s="25" t="n">
        <x:f>'WID_raw'!A22</x:f>
        <x:v>2007</x:v>
      </x:c>
      <x:c r="B22" s="28" t="n">
        <x:f>'WID_raw'!B22</x:f>
        <x:v>0.7582222819328308</x:v>
      </x:c>
      <x:c r="C22" s="31" t="n">
        <x:f>'WID_raw'!C22</x:f>
        <x:v>32329.9</x:v>
      </x:c>
      <x:c r="D22" s="31" t="n">
        <x:f>'WID_raw'!D22</x:f>
        <x:v>5081</x:v>
      </x:c>
      <x:c r="E22" s="31" t="n">
        <x:f>('WID_raw'!E22*'Parametros'!$B$6-'WID_raw'!D22*'Parametros'!$B$5)/('Parametros'!$B$6-'Parametros'!$B$5)</x:f>
        <x:v>16843</x:v>
      </x:c>
      <x:c r="F22" s="31" t="n">
        <x:f>('WID_raw'!F22*'Parametros'!$B$7-'WID_raw'!E22*'Parametros'!$B$6)/('Parametros'!$B$7-'Parametros'!$B$6)</x:f>
        <x:v>24446.100000000006</x:v>
      </x:c>
      <x:c r="G22" s="31" t="n">
        <x:f>('WID_raw'!G22*'Parametros'!$B$8-'WID_raw'!F22*'Parametros'!$B$7)/('Parametros'!$B$8-'Parametros'!$B$7)</x:f>
        <x:v>34978.29999999999</x:v>
      </x:c>
      <x:c r="H22" s="31" t="n">
        <x:f>'WID_raw'!H22</x:f>
        <x:v>80301.3</x:v>
      </x:c>
      <x:c r="I22" s="31" t="n">
        <x:f>C22*B22</x:f>
        <x:v>24513.25055266023</x:v>
      </x:c>
      <x:c r="J22" s="31" t="n">
        <x:f>D22*B22</x:f>
        <x:v>3852.5274145007133</x:v>
      </x:c>
      <x:c r="K22" s="31" t="n">
        <x:f>E22*B22</x:f>
        <x:v>12770.73789459467</x:v>
      </x:c>
      <x:c r="L22" s="31" t="n">
        <x:f>F22*B22</x:f>
        <x:v>18535.57772635818</x:v>
      </x:c>
      <x:c r="M22" s="31" t="n">
        <x:f>G22*B22</x:f>
        <x:v>26521.326444131126</x:v>
      </x:c>
      <x:c r="N22" s="31" t="n">
        <x:f>H22*B22</x:f>
        <x:v>60886.23492817283</x:v>
      </x:c>
      <x:c r="O22" s="37" t="n">
        <x:f>'WID_raw'!AA22</x:f>
        <x:v>4</x:v>
      </x:c>
      <x:c r="P22" s="40" t="str">
        <x:f>'WID_raw'!AB22</x:f>
        <x:v>https://wid.world/bulk_download/WID_data_ES.csv</x:v>
      </x:c>
    </x:row>
    <x:row r="23">
      <x:c r="A23" s="25" t="n">
        <x:f>'WID_raw'!A23</x:f>
        <x:v>2008</x:v>
      </x:c>
      <x:c r="B23" s="28" t="n">
        <x:f>'WID_raw'!B23</x:f>
        <x:v>0.7768142819404602</x:v>
      </x:c>
      <x:c r="C23" s="31" t="n">
        <x:f>'WID_raw'!C23</x:f>
        <x:v>31672.4</x:v>
      </x:c>
      <x:c r="D23" s="31" t="n">
        <x:f>'WID_raw'!D23</x:f>
        <x:v>4905.5</x:v>
      </x:c>
      <x:c r="E23" s="31" t="n">
        <x:f>('WID_raw'!E23*'Parametros'!$B$6-'WID_raw'!D23*'Parametros'!$B$5)/('Parametros'!$B$6-'Parametros'!$B$5)</x:f>
        <x:v>16388.5</x:v>
      </x:c>
      <x:c r="F23" s="31" t="n">
        <x:f>('WID_raw'!F23*'Parametros'!$B$7-'WID_raw'!E23*'Parametros'!$B$6)/('Parametros'!$B$7-'Parametros'!$B$6)</x:f>
        <x:v>23894.10000000001</x:v>
      </x:c>
      <x:c r="G23" s="31" t="n">
        <x:f>('WID_raw'!G23*'Parametros'!$B$8-'WID_raw'!F23*'Parametros'!$B$7)/('Parametros'!$B$8-'Parametros'!$B$7)</x:f>
        <x:v>34215.49999999999</x:v>
      </x:c>
      <x:c r="H23" s="31" t="n">
        <x:f>'WID_raw'!H23</x:f>
        <x:v>78958.40000000001</x:v>
      </x:c>
      <x:c r="I23" s="31" t="n">
        <x:f>C23*B23</x:f>
        <x:v>24603.572663331033</x:v>
      </x:c>
      <x:c r="J23" s="31" t="n">
        <x:f>D23*B23</x:f>
        <x:v>3810.6624600589275</x:v>
      </x:c>
      <x:c r="K23" s="31" t="n">
        <x:f>E23*B23</x:f>
        <x:v>12730.820859581232</x:v>
      </x:c>
      <x:c r="L23" s="31" t="n">
        <x:f>F23*B23</x:f>
        <x:v>18561.278134113556</x:v>
      </x:c>
      <x:c r="M23" s="31" t="n">
        <x:f>G23*B23</x:f>
        <x:v>26579.08906373381</x:v>
      </x:c>
      <x:c r="N23" s="31" t="n">
        <x:f>H23*B23</x:f>
        <x:v>61336.01279916764</x:v>
      </x:c>
      <x:c r="O23" s="37" t="n">
        <x:f>'WID_raw'!AA23</x:f>
        <x:v>4</x:v>
      </x:c>
      <x:c r="P23" s="40" t="str">
        <x:f>'WID_raw'!AB23</x:f>
        <x:v>https://wid.world/bulk_download/WID_data_ES.csv</x:v>
      </x:c>
    </x:row>
    <x:row r="24">
      <x:c r="A24" s="25" t="n">
        <x:f>'WID_raw'!A24</x:f>
        <x:v>2009</x:v>
      </x:c>
      <x:c r="B24" s="28" t="n">
        <x:f>'WID_raw'!B24</x:f>
        <x:v>0.7786106467247009</x:v>
      </x:c>
      <x:c r="C24" s="31" t="n">
        <x:f>'WID_raw'!C24</x:f>
        <x:v>30046</x:v>
      </x:c>
      <x:c r="D24" s="31" t="n">
        <x:f>'WID_raw'!D24</x:f>
        <x:v>4626.7</x:v>
      </x:c>
      <x:c r="E24" s="31" t="n">
        <x:f>('WID_raw'!E24*'Parametros'!$B$6-'WID_raw'!D24*'Parametros'!$B$5)/('Parametros'!$B$6-'Parametros'!$B$5)</x:f>
        <x:v>15160.099999999999</x:v>
      </x:c>
      <x:c r="F24" s="31" t="n">
        <x:f>('WID_raw'!F24*'Parametros'!$B$7-'WID_raw'!E24*'Parametros'!$B$6)/('Parametros'!$B$7-'Parametros'!$B$6)</x:f>
        <x:v>22309.8</x:v>
      </x:c>
      <x:c r="G24" s="31" t="n">
        <x:f>('WID_raw'!G24*'Parametros'!$B$8-'WID_raw'!F24*'Parametros'!$B$7)/('Parametros'!$B$8-'Parametros'!$B$7)</x:f>
        <x:v>31836.999999999996</x:v>
      </x:c>
      <x:c r="H24" s="31" t="n">
        <x:f>'WID_raw'!H24</x:f>
        <x:v>76296.5</x:v>
      </x:c>
      <x:c r="I24" s="31" t="n">
        <x:f>C24*B24</x:f>
        <x:v>23394.135491490364</x:v>
      </x:c>
      <x:c r="J24" s="31" t="n">
        <x:f>D24*B24</x:f>
        <x:v>3602.3978792011735</x:v>
      </x:c>
      <x:c r="K24" s="31" t="n">
        <x:f>E24*B24</x:f>
        <x:v>11803.815265411138</x:v>
      </x:c>
      <x:c r="L24" s="31" t="n">
        <x:f>F24*B24</x:f>
        <x:v>17370.647806298733</x:v>
      </x:c>
      <x:c r="M24" s="31" t="n">
        <x:f>G24*B24</x:f>
        <x:v>24788.6271597743</x:v>
      </x:c>
      <x:c r="N24" s="31" t="n">
        <x:f>H24*B24</x:f>
        <x:v>59405.267207831144</x:v>
      </x:c>
      <x:c r="O24" s="37" t="n">
        <x:f>'WID_raw'!AA24</x:f>
        <x:v>4</x:v>
      </x:c>
      <x:c r="P24" s="40" t="str">
        <x:f>'WID_raw'!AB24</x:f>
        <x:v>https://wid.world/bulk_download/WID_data_ES.csv</x:v>
      </x:c>
    </x:row>
    <x:row r="25">
      <x:c r="A25" s="25" t="n">
        <x:f>'WID_raw'!A25</x:f>
        <x:v>2010</x:v>
      </x:c>
      <x:c r="B25" s="28" t="n">
        <x:f>'WID_raw'!B25</x:f>
        <x:v>0.7808910012245178</x:v>
      </x:c>
      <x:c r="C25" s="31" t="n">
        <x:f>'WID_raw'!C25</x:f>
        <x:v>30145.7</x:v>
      </x:c>
      <x:c r="D25" s="31" t="n">
        <x:f>'WID_raw'!D25</x:f>
        <x:v>4702.8</x:v>
      </x:c>
      <x:c r="E25" s="31" t="n">
        <x:f>('WID_raw'!E25*'Parametros'!$B$6-'WID_raw'!D25*'Parametros'!$B$5)/('Parametros'!$B$6-'Parametros'!$B$5)</x:f>
        <x:v>15867.8</x:v>
      </x:c>
      <x:c r="F25" s="31" t="n">
        <x:f>('WID_raw'!F25*'Parametros'!$B$7-'WID_raw'!E25*'Parametros'!$B$6)/('Parametros'!$B$7-'Parametros'!$B$6)</x:f>
        <x:v>23012.50000000001</x:v>
      </x:c>
      <x:c r="G25" s="31" t="n">
        <x:f>('WID_raw'!G25*'Parametros'!$B$8-'WID_raw'!F25*'Parametros'!$B$7)/('Parametros'!$B$8-'Parametros'!$B$7)</x:f>
        <x:v>32688.099999999984</x:v>
      </x:c>
      <x:c r="H25" s="31" t="n">
        <x:f>'WID_raw'!H25</x:f>
        <x:v>74457.1</x:v>
      </x:c>
      <x:c r="I25" s="31" t="n">
        <x:f>C25*B25</x:f>
        <x:v>23540.50585561395</x:v>
      </x:c>
      <x:c r="J25" s="31" t="n">
        <x:f>D25*B25</x:f>
        <x:v>3672.374200558663</x:v>
      </x:c>
      <x:c r="K25" s="31" t="n">
        <x:f>E25*B25</x:f>
        <x:v>12391.022229230402</x:v>
      </x:c>
      <x:c r="L25" s="31" t="n">
        <x:f>F25*B25</x:f>
        <x:v>17970.254165679224</x:v>
      </x:c>
      <x:c r="M25" s="31" t="n">
        <x:f>G25*B25</x:f>
        <x:v>25525.843137127147</x:v>
      </x:c>
      <x:c r="N25" s="31" t="n">
        <x:f>H25*B25</x:f>
        <x:v>58142.87936727405</x:v>
      </x:c>
      <x:c r="O25" s="37" t="n">
        <x:f>'WID_raw'!AA25</x:f>
        <x:v>4</x:v>
      </x:c>
      <x:c r="P25" s="40" t="str">
        <x:f>'WID_raw'!AB25</x:f>
        <x:v>https://wid.world/bulk_download/WID_data_ES.csv</x:v>
      </x:c>
    </x:row>
    <x:row r="26">
      <x:c r="A26" s="25" t="n">
        <x:f>'WID_raw'!A26</x:f>
        <x:v>2011</x:v>
      </x:c>
      <x:c r="B26" s="28" t="n">
        <x:f>'WID_raw'!B26</x:f>
        <x:v>0.7797509431838989</x:v>
      </x:c>
      <x:c r="C26" s="31" t="n">
        <x:f>'WID_raw'!C26</x:f>
        <x:v>29878.9</x:v>
      </x:c>
      <x:c r="D26" s="31" t="n">
        <x:f>'WID_raw'!D26</x:f>
        <x:v>4595.6</x:v>
      </x:c>
      <x:c r="E26" s="31" t="n">
        <x:f>('WID_raw'!E26*'Parametros'!$B$6-'WID_raw'!D26*'Parametros'!$B$5)/('Parametros'!$B$6-'Parametros'!$B$5)</x:f>
        <x:v>15786.600000000002</x:v>
      </x:c>
      <x:c r="F26" s="31" t="n">
        <x:f>('WID_raw'!F26*'Parametros'!$B$7-'WID_raw'!E26*'Parametros'!$B$6)/('Parametros'!$B$7-'Parametros'!$B$6)</x:f>
        <x:v>22961.5</x:v>
      </x:c>
      <x:c r="G26" s="31" t="n">
        <x:f>('WID_raw'!G26*'Parametros'!$B$8-'WID_raw'!F26*'Parametros'!$B$7)/('Parametros'!$B$8-'Parametros'!$B$7)</x:f>
        <x:v>32691.499999999996</x:v>
      </x:c>
      <x:c r="H26" s="31" t="n">
        <x:f>'WID_raw'!H26</x:f>
        <x:v>73359</x:v>
      </x:c>
      <x:c r="I26" s="31" t="n">
        <x:f>C26*B26</x:f>
        <x:v>23298.100456297398</x:v>
      </x:c>
      <x:c r="J26" s="31" t="n">
        <x:f>D26*B26</x:f>
        <x:v>3583.4234344959264</x:v>
      </x:c>
      <x:c r="K26" s="31" t="n">
        <x:f>E26*B26</x:f>
        <x:v>12309.61623966694</x:v>
      </x:c>
      <x:c r="L26" s="31" t="n">
        <x:f>F26*B26</x:f>
        <x:v>17904.251281917095</x:v>
      </x:c>
      <x:c r="M26" s="31" t="n">
        <x:f>G26*B26</x:f>
        <x:v>25491.227959096428</x:v>
      </x:c>
      <x:c r="N26" s="31" t="n">
        <x:f>H26*B26</x:f>
        <x:v>57201.74944102764</x:v>
      </x:c>
      <x:c r="O26" s="37" t="n">
        <x:f>'WID_raw'!AA26</x:f>
        <x:v>4</x:v>
      </x:c>
      <x:c r="P26" s="40" t="str">
        <x:f>'WID_raw'!AB26</x:f>
        <x:v>https://wid.world/bulk_download/WID_data_ES.csv</x:v>
      </x:c>
    </x:row>
    <x:row r="27">
      <x:c r="A27" s="25" t="n">
        <x:f>'WID_raw'!A27</x:f>
        <x:v>2012</x:v>
      </x:c>
      <x:c r="B27" s="28" t="n">
        <x:f>'WID_raw'!B27</x:f>
        <x:v>0.7781686186790466</x:v>
      </x:c>
      <x:c r="C27" s="31" t="n">
        <x:f>'WID_raw'!C27</x:f>
        <x:v>29104.6</x:v>
      </x:c>
      <x:c r="D27" s="31" t="n">
        <x:f>'WID_raw'!D27</x:f>
        <x:v>4518.400000000001</x:v>
      </x:c>
      <x:c r="E27" s="31" t="n">
        <x:f>('WID_raw'!E27*'Parametros'!$B$6-'WID_raw'!D27*'Parametros'!$B$5)/('Parametros'!$B$6-'Parametros'!$B$5)</x:f>
        <x:v>15580.199999999997</x:v>
      </x:c>
      <x:c r="F27" s="31" t="n">
        <x:f>('WID_raw'!F27*'Parametros'!$B$7-'WID_raw'!E27*'Parametros'!$B$6)/('Parametros'!$B$7-'Parametros'!$B$6)</x:f>
        <x:v>22507.4</x:v>
      </x:c>
      <x:c r="G27" s="31" t="n">
        <x:f>('WID_raw'!G27*'Parametros'!$B$8-'WID_raw'!F27*'Parametros'!$B$7)/('Parametros'!$B$8-'Parametros'!$B$7)</x:f>
        <x:v>31443.999999999996</x:v>
      </x:c>
      <x:c r="H27" s="31" t="n">
        <x:f>'WID_raw'!H27</x:f>
        <x:v>71473</x:v>
      </x:c>
      <x:c r="I27" s="31" t="n">
        <x:f>C27*B27</x:f>
        <x:v>22648.28637920618</x:v>
      </x:c>
      <x:c r="J27" s="31" t="n">
        <x:f>D27*B27</x:f>
        <x:v>3516.0770866394046</x:v>
      </x:c>
      <x:c r="K27" s="31" t="n">
        <x:f>E27*B27</x:f>
        <x:v>12124.02271274328</x:v>
      </x:c>
      <x:c r="L27" s="31" t="n">
        <x:f>F27*B27</x:f>
        <x:v>17514.552368056775</x:v>
      </x:c>
      <x:c r="M27" s="31" t="n">
        <x:f>G27*B27</x:f>
        <x:v>24468.73404574394</x:v>
      </x:c>
      <x:c r="N27" s="31" t="n">
        <x:f>H27*B27</x:f>
        <x:v>55618.0456828475</x:v>
      </x:c>
      <x:c r="O27" s="37" t="n">
        <x:f>'WID_raw'!AA27</x:f>
        <x:v>4</x:v>
      </x:c>
      <x:c r="P27" s="40" t="str">
        <x:f>'WID_raw'!AB27</x:f>
        <x:v>https://wid.world/bulk_download/WID_data_ES.csv</x:v>
      </x:c>
    </x:row>
    <x:row r="28">
      <x:c r="A28" s="25" t="n">
        <x:f>'WID_raw'!A28</x:f>
        <x:v>2013</x:v>
      </x:c>
      <x:c r="B28" s="28" t="n">
        <x:f>'WID_raw'!B28</x:f>
        <x:v>0.7815783023834229</x:v>
      </x:c>
      <x:c r="C28" s="31" t="n">
        <x:f>'WID_raw'!C28</x:f>
        <x:v>28922</x:v>
      </x:c>
      <x:c r="D28" s="31" t="n">
        <x:f>'WID_raw'!D28</x:f>
        <x:v>4368.400000000001</x:v>
      </x:c>
      <x:c r="E28" s="31" t="n">
        <x:f>('WID_raw'!E28*'Parametros'!$B$6-'WID_raw'!D28*'Parametros'!$B$5)/('Parametros'!$B$6-'Parametros'!$B$5)</x:f>
        <x:v>15278.800000000001</x:v>
      </x:c>
      <x:c r="F28" s="31" t="n">
        <x:f>('WID_raw'!F28*'Parametros'!$B$7-'WID_raw'!E28*'Parametros'!$B$6)/('Parametros'!$B$7-'Parametros'!$B$6)</x:f>
        <x:v>22283.5</x:v>
      </x:c>
      <x:c r="G28" s="31" t="n">
        <x:f>('WID_raw'!G28*'Parametros'!$B$8-'WID_raw'!F28*'Parametros'!$B$7)/('Parametros'!$B$8-'Parametros'!$B$7)</x:f>
        <x:v>31335.699999999986</x:v>
      </x:c>
      <x:c r="H28" s="31" t="n">
        <x:f>'WID_raw'!H28</x:f>
        <x:v>71343.6</x:v>
      </x:c>
      <x:c r="I28" s="31" t="n">
        <x:f>C28*B28</x:f>
        <x:v>22604.807661533356</x:v>
      </x:c>
      <x:c r="J28" s="31" t="n">
        <x:f>D28*B28</x:f>
        <x:v>3414.2466561317447</x:v>
      </x:c>
      <x:c r="K28" s="31" t="n">
        <x:f>E28*B28</x:f>
        <x:v>11941.578566455843</x:v>
      </x:c>
      <x:c r="L28" s="31" t="n">
        <x:f>F28*B28</x:f>
        <x:v>17416.300101161003</x:v>
      </x:c>
      <x:c r="M28" s="31" t="n">
        <x:f>G28*B28</x:f>
        <x:v>24491.30320999621</x:v>
      </x:c>
      <x:c r="N28" s="31" t="n">
        <x:f>H28*B28</x:f>
        <x:v>55760.60977392197</x:v>
      </x:c>
      <x:c r="O28" s="37" t="n">
        <x:f>'WID_raw'!AA28</x:f>
        <x:v>3</x:v>
      </x:c>
      <x:c r="P28" s="40" t="str">
        <x:f>'WID_raw'!AB28</x:f>
        <x:v>https://wid.world/bulk_download/WID_data_ES.csv</x:v>
      </x:c>
    </x:row>
    <x:row r="29">
      <x:c r="A29" s="25" t="n">
        <x:f>'WID_raw'!A29</x:f>
        <x:v>2014</x:v>
      </x:c>
      <x:c r="B29" s="28" t="n">
        <x:f>'WID_raw'!B29</x:f>
        <x:v>0.7798535823822021</x:v>
      </x:c>
      <x:c r="C29" s="31" t="n">
        <x:f>'WID_raw'!C29</x:f>
        <x:v>29514.2</x:v>
      </x:c>
      <x:c r="D29" s="31" t="n">
        <x:f>'WID_raw'!D29</x:f>
        <x:v>4423.2</x:v>
      </x:c>
      <x:c r="E29" s="31" t="n">
        <x:f>('WID_raw'!E29*'Parametros'!$B$6-'WID_raw'!D29*'Parametros'!$B$5)/('Parametros'!$B$6-'Parametros'!$B$5)</x:f>
        <x:v>15528.000000000002</x:v>
      </x:c>
      <x:c r="F29" s="31" t="n">
        <x:f>('WID_raw'!F29*'Parametros'!$B$7-'WID_raw'!E29*'Parametros'!$B$6)/('Parametros'!$B$7-'Parametros'!$B$6)</x:f>
        <x:v>22632.3</x:v>
      </x:c>
      <x:c r="G29" s="31" t="n">
        <x:f>('WID_raw'!G29*'Parametros'!$B$8-'WID_raw'!F29*'Parametros'!$B$7)/('Parametros'!$B$8-'Parametros'!$B$7)</x:f>
        <x:v>31874.499999999996</x:v>
      </x:c>
      <x:c r="H29" s="31" t="n">
        <x:f>'WID_raw'!H29</x:f>
        <x:v>73113.3</x:v>
      </x:c>
      <x:c r="I29" s="31" t="n">
        <x:f>C29*B29</x:f>
        <x:v>23016.754601144792</x:v>
      </x:c>
      <x:c r="J29" s="31" t="n">
        <x:f>D29*B29</x:f>
        <x:v>3449.448365592956</x:v>
      </x:c>
      <x:c r="K29" s="31" t="n">
        <x:f>E29*B29</x:f>
        <x:v>12109.566427230837</x:v>
      </x:c>
      <x:c r="L29" s="31" t="n">
        <x:f>F29*B29</x:f>
        <x:v>17649.880232548712</x:v>
      </x:c>
      <x:c r="M29" s="31" t="n">
        <x:f>G29*B29</x:f>
        <x:v>24857.4430116415</x:v>
      </x:c>
      <x:c r="N29" s="31" t="n">
        <x:f>H29*B29</x:f>
        <x:v>57017.668924784666</x:v>
      </x:c>
      <x:c r="O29" s="37" t="n">
        <x:f>'WID_raw'!AA29</x:f>
        <x:v>3</x:v>
      </x:c>
      <x:c r="P29" s="40" t="str">
        <x:f>'WID_raw'!AB29</x:f>
        <x:v>https://wid.world/bulk_download/WID_data_ES.csv</x:v>
      </x:c>
    </x:row>
    <x:row r="30">
      <x:c r="A30" s="25" t="n">
        <x:f>'WID_raw'!A30</x:f>
        <x:v>2015</x:v>
      </x:c>
      <x:c r="B30" s="28" t="n">
        <x:f>'WID_raw'!B30</x:f>
        <x:v>0.7841615676879883</x:v>
      </x:c>
      <x:c r="C30" s="31" t="n">
        <x:f>'WID_raw'!C30</x:f>
        <x:v>31016.8</x:v>
      </x:c>
      <x:c r="D30" s="31" t="n">
        <x:f>'WID_raw'!D30</x:f>
        <x:v>4620.900000000001</x:v>
      </x:c>
      <x:c r="E30" s="31" t="n">
        <x:f>('WID_raw'!E30*'Parametros'!$B$6-'WID_raw'!D30*'Parametros'!$B$5)/('Parametros'!$B$6-'Parametros'!$B$5)</x:f>
        <x:v>16146.699999999995</x:v>
      </x:c>
      <x:c r="F30" s="31" t="n">
        <x:f>('WID_raw'!F30*'Parametros'!$B$7-'WID_raw'!E30*'Parametros'!$B$6)/('Parametros'!$B$7-'Parametros'!$B$6)</x:f>
        <x:v>23657.000000000007</x:v>
      </x:c>
      <x:c r="G30" s="31" t="n">
        <x:f>('WID_raw'!G30*'Parametros'!$B$8-'WID_raw'!F30*'Parametros'!$B$7)/('Parametros'!$B$8-'Parametros'!$B$7)</x:f>
        <x:v>33228.2</x:v>
      </x:c>
      <x:c r="H30" s="31" t="n">
        <x:f>'WID_raw'!H30</x:f>
        <x:v>77431.1</x:v>
      </x:c>
      <x:c r="I30" s="31" t="n">
        <x:f>C30*B30</x:f>
        <x:v>24322.182512664793</x:v>
      </x:c>
      <x:c r="J30" s="31" t="n">
        <x:f>D30*B30</x:f>
        <x:v>3623.5321881294253</x:v>
      </x:c>
      <x:c r="K30" s="31" t="n">
        <x:f>E30*B30</x:f>
        <x:v>12661.621584987637</x:v>
      </x:c>
      <x:c r="L30" s="31" t="n">
        <x:f>F30*B30</x:f>
        <x:v>18550.910206794746</x:v>
      </x:c>
      <x:c r="M30" s="31" t="n">
        <x:f>G30*B30</x:f>
        <x:v>26056.27740345001</x:v>
      </x:c>
      <x:c r="N30" s="31" t="n">
        <x:f>H30*B30</x:f>
        <x:v>60718.49276380539</x:v>
      </x:c>
      <x:c r="O30" s="37" t="n">
        <x:f>'WID_raw'!AA30</x:f>
        <x:v>3</x:v>
      </x:c>
      <x:c r="P30" s="40" t="str">
        <x:f>'WID_raw'!AB30</x:f>
        <x:v>https://wid.world/bulk_download/WID_data_ES.csv</x:v>
      </x:c>
    </x:row>
    <x:row r="31">
      <x:c r="A31" s="25" t="n">
        <x:f>'WID_raw'!A31</x:f>
        <x:v>2016</x:v>
      </x:c>
      <x:c r="B31" s="28" t="n">
        <x:f>'WID_raw'!B31</x:f>
        <x:v>0.7870801687240601</x:v>
      </x:c>
      <x:c r="C31" s="31" t="n">
        <x:f>'WID_raw'!C31</x:f>
        <x:v>31991.4</x:v>
      </x:c>
      <x:c r="D31" s="31" t="n">
        <x:f>'WID_raw'!D31</x:f>
        <x:v>4707</x:v>
      </x:c>
      <x:c r="E31" s="31" t="n">
        <x:f>('WID_raw'!E31*'Parametros'!$B$6-'WID_raw'!D31*'Parametros'!$B$5)/('Parametros'!$B$6-'Parametros'!$B$5)</x:f>
        <x:v>16482.2</x:v>
      </x:c>
      <x:c r="F31" s="31" t="n">
        <x:f>('WID_raw'!F31*'Parametros'!$B$7-'WID_raw'!E31*'Parametros'!$B$6)/('Parametros'!$B$7-'Parametros'!$B$6)</x:f>
        <x:v>24501.40000000001</x:v>
      </x:c>
      <x:c r="G31" s="31" t="n">
        <x:f>('WID_raw'!G31*'Parametros'!$B$8-'WID_raw'!F31*'Parametros'!$B$7)/('Parametros'!$B$8-'Parametros'!$B$7)</x:f>
        <x:v>34739.79999999998</x:v>
      </x:c>
      <x:c r="H31" s="31" t="n">
        <x:f>'WID_raw'!H31</x:f>
        <x:v>79526.6</x:v>
      </x:c>
      <x:c r="I31" s="31" t="n">
        <x:f>C31*B31</x:f>
        <x:v>25179.796509718897</x:v>
      </x:c>
      <x:c r="J31" s="31" t="n">
        <x:f>D31*B31</x:f>
        <x:v>3704.7863541841507</x:v>
      </x:c>
      <x:c r="K31" s="31" t="n">
        <x:f>E31*B31</x:f>
        <x:v>12972.812756943704</x:v>
      </x:c>
      <x:c r="L31" s="31" t="n">
        <x:f>F31*B31</x:f>
        <x:v>19284.56604597569</x:v>
      </x:c>
      <x:c r="M31" s="31" t="n">
        <x:f>G31*B31</x:f>
        <x:v>27343.007645440088</x:v>
      </x:c>
      <x:c r="N31" s="31" t="n">
        <x:f>H31*B31</x:f>
        <x:v>62593.809746050836</x:v>
      </x:c>
      <x:c r="O31" s="37" t="n">
        <x:f>'WID_raw'!AA31</x:f>
        <x:v>3</x:v>
      </x:c>
      <x:c r="P31" s="40" t="str">
        <x:f>'WID_raw'!AB31</x:f>
        <x:v>https://wid.world/bulk_download/WID_data_ES.csv</x:v>
      </x:c>
    </x:row>
    <x:row r="32">
      <x:c r="A32" s="25" t="n">
        <x:f>'WID_raw'!A32</x:f>
        <x:v>2017</x:v>
      </x:c>
      <x:c r="B32" s="28" t="n">
        <x:f>'WID_raw'!B32</x:f>
        <x:v>0.7969813942909241</x:v>
      </x:c>
      <x:c r="C32" s="31" t="n">
        <x:f>'WID_raw'!C32</x:f>
        <x:v>32718.3</x:v>
      </x:c>
      <x:c r="D32" s="31" t="n">
        <x:f>'WID_raw'!D32</x:f>
        <x:v>5124.700000000001</x:v>
      </x:c>
      <x:c r="E32" s="31" t="n">
        <x:f>('WID_raw'!E32*'Parametros'!$B$6-'WID_raw'!D32*'Parametros'!$B$5)/('Parametros'!$B$6-'Parametros'!$B$5)</x:f>
        <x:v>17213.3</x:v>
      </x:c>
      <x:c r="F32" s="31" t="n">
        <x:f>('WID_raw'!F32*'Parametros'!$B$7-'WID_raw'!E32*'Parametros'!$B$6)/('Parametros'!$B$7-'Parametros'!$B$6)</x:f>
        <x:v>24935.700000000004</x:v>
      </x:c>
      <x:c r="G32" s="31" t="n">
        <x:f>('WID_raw'!G32*'Parametros'!$B$8-'WID_raw'!F32*'Parametros'!$B$7)/('Parametros'!$B$8-'Parametros'!$B$7)</x:f>
        <x:v>35112.299999999996</x:v>
      </x:c>
      <x:c r="H32" s="31" t="n">
        <x:f>'WID_raw'!H32</x:f>
        <x:v>81205.70000000001</x:v>
      </x:c>
      <x:c r="I32" s="31" t="n">
        <x:f>C32*B32</x:f>
        <x:v>26075.87635282874</x:v>
      </x:c>
      <x:c r="J32" s="31" t="n">
        <x:f>D32*B32</x:f>
        <x:v>4084.2905513226992</x:v>
      </x:c>
      <x:c r="K32" s="31" t="n">
        <x:f>E32*B32</x:f>
        <x:v>13718.679834347962</x:v>
      </x:c>
      <x:c r="L32" s="31" t="n">
        <x:f>F32*B32</x:f>
        <x:v>19873.2889536202</x:v>
      </x:c>
      <x:c r="M32" s="31" t="n">
        <x:f>G32*B32</x:f>
        <x:v>27983.84981076121</x:v>
      </x:c>
      <x:c r="N32" s="31" t="n">
        <x:f>H32*B32</x:f>
        <x:v>64719.4320103705</x:v>
      </x:c>
      <x:c r="O32" s="37" t="n">
        <x:f>'WID_raw'!AA32</x:f>
        <x:v>3</x:v>
      </x:c>
      <x:c r="P32" s="40" t="str">
        <x:f>'WID_raw'!AB32</x:f>
        <x:v>https://wid.world/bulk_download/WID_data_ES.csv</x:v>
      </x:c>
    </x:row>
    <x:row r="33">
      <x:c r="A33" s="25" t="n">
        <x:f>'WID_raw'!A33</x:f>
        <x:v>2018</x:v>
      </x:c>
      <x:c r="B33" s="28" t="n">
        <x:f>'WID_raw'!B33</x:f>
        <x:v>0.8064444065093994</x:v>
      </x:c>
      <x:c r="C33" s="31" t="n">
        <x:f>'WID_raw'!C33</x:f>
        <x:v>33433.9</x:v>
      </x:c>
      <x:c r="D33" s="31" t="n">
        <x:f>'WID_raw'!D33</x:f>
        <x:v>5441.700000000001</x:v>
      </x:c>
      <x:c r="E33" s="31" t="n">
        <x:f>('WID_raw'!E33*'Parametros'!$B$6-'WID_raw'!D33*'Parametros'!$B$5)/('Parametros'!$B$6-'Parametros'!$B$5)</x:f>
        <x:v>17982.1</x:v>
      </x:c>
      <x:c r="F33" s="31" t="n">
        <x:f>('WID_raw'!F33*'Parametros'!$B$7-'WID_raw'!E33*'Parametros'!$B$6)/('Parametros'!$B$7-'Parametros'!$B$6)</x:f>
        <x:v>25788.800000000007</x:v>
      </x:c>
      <x:c r="G33" s="31" t="n">
        <x:f>('WID_raw'!G33*'Parametros'!$B$8-'WID_raw'!F33*'Parametros'!$B$7)/('Parametros'!$B$8-'Parametros'!$B$7)</x:f>
        <x:v>35859</x:v>
      </x:c>
      <x:c r="H33" s="31" t="n">
        <x:f>'WID_raw'!H33</x:f>
        <x:v>82098.1</x:v>
      </x:c>
      <x:c r="I33" s="31" t="n">
        <x:f>C33*B33</x:f>
        <x:v>26962.581642794612</x:v>
      </x:c>
      <x:c r="J33" s="31" t="n">
        <x:f>D33*B33</x:f>
        <x:v>4388.428526902199</x:v>
      </x:c>
      <x:c r="K33" s="31" t="n">
        <x:f>E33*B33</x:f>
        <x:v>14501.56396229267</x:v>
      </x:c>
      <x:c r="L33" s="31" t="n">
        <x:f>F33*B33</x:f>
        <x:v>20797.233510589605</x:v>
      </x:c>
      <x:c r="M33" s="31" t="n">
        <x:f>G33*B33</x:f>
        <x:v>28918.289973020554</x:v>
      </x:c>
      <x:c r="N33" s="31" t="n">
        <x:f>H33*B33</x:f>
        <x:v>66207.55353004934</x:v>
      </x:c>
      <x:c r="O33" s="37" t="n">
        <x:f>'WID_raw'!AA33</x:f>
        <x:v>3</x:v>
      </x:c>
      <x:c r="P33" s="40" t="str">
        <x:f>'WID_raw'!AB33</x:f>
        <x:v>https://wid.world/bulk_download/WID_data_ES.csv</x:v>
      </x:c>
    </x:row>
    <x:row r="34">
      <x:c r="A34" s="25" t="n">
        <x:f>'WID_raw'!A34</x:f>
        <x:v>2019</x:v>
      </x:c>
      <x:c r="B34" s="28" t="n">
        <x:f>'WID_raw'!B34</x:f>
        <x:v>0.8179656863212585</x:v>
      </x:c>
      <x:c r="C34" s="31" t="n">
        <x:f>'WID_raw'!C34</x:f>
        <x:v>33525.8</x:v>
      </x:c>
      <x:c r="D34" s="31" t="n">
        <x:f>'WID_raw'!D34</x:f>
        <x:v>5508.400000000001</x:v>
      </x:c>
      <x:c r="E34" s="31" t="n">
        <x:f>('WID_raw'!E34*'Parametros'!$B$6-'WID_raw'!D34*'Parametros'!$B$5)/('Parametros'!$B$6-'Parametros'!$B$5)</x:f>
        <x:v>18130.8</x:v>
      </x:c>
      <x:c r="F34" s="31" t="n">
        <x:f>('WID_raw'!F34*'Parametros'!$B$7-'WID_raw'!E34*'Parametros'!$B$6)/('Parametros'!$B$7-'Parametros'!$B$6)</x:f>
        <x:v>26099.3</x:v>
      </x:c>
      <x:c r="G34" s="31" t="n">
        <x:f>('WID_raw'!G34*'Parametros'!$B$8-'WID_raw'!F34*'Parametros'!$B$7)/('Parametros'!$B$8-'Parametros'!$B$7)</x:f>
        <x:v>36267.89999999999</x:v>
      </x:c>
      <x:c r="H34" s="31" t="n">
        <x:f>'WID_raw'!H34</x:f>
        <x:v>81622.5</x:v>
      </x:c>
      <x:c r="I34" s="31" t="n">
        <x:f>C34*B34</x:f>
        <x:v>27422.954006469252</x:v>
      </x:c>
      <x:c r="J34" s="31" t="n">
        <x:f>D34*B34</x:f>
        <x:v>4505.682186532021</x:v>
      </x:c>
      <x:c r="K34" s="31" t="n">
        <x:f>E34*B34</x:f>
        <x:v>14830.372265553473</x:v>
      </x:c>
      <x:c r="L34" s="31" t="n">
        <x:f>F34*B34</x:f>
        <x:v>21348.33183700442</x:v>
      </x:c>
      <x:c r="M34" s="31" t="n">
        <x:f>G34*B34</x:f>
        <x:v>29665.89771493076</x:v>
      </x:c>
      <x:c r="N34" s="31" t="n">
        <x:f>H34*B34</x:f>
        <x:v>66764.40423175693</x:v>
      </x:c>
      <x:c r="O34" s="37" t="n">
        <x:f>'WID_raw'!AA34</x:f>
        <x:v>3</x:v>
      </x:c>
      <x:c r="P34" s="40" t="str">
        <x:f>'WID_raw'!AB34</x:f>
        <x:v>https://wid.world/bulk_download/WID_data_ES.csv</x:v>
      </x:c>
    </x:row>
    <x:row r="35">
      <x:c r="A35" s="25" t="n">
        <x:f>'WID_raw'!A35</x:f>
        <x:v>2020</x:v>
      </x:c>
      <x:c r="B35" s="28" t="n">
        <x:f>'WID_raw'!B35</x:f>
        <x:v>0.8272407054901123</x:v>
      </x:c>
      <x:c r="C35" s="31" t="n">
        <x:f>'WID_raw'!C35</x:f>
        <x:v>29143</x:v>
      </x:c>
      <x:c r="D35" s="31" t="n">
        <x:f>'WID_raw'!D35</x:f>
        <x:v>4788.5</x:v>
      </x:c>
      <x:c r="E35" s="31" t="n">
        <x:f>('WID_raw'!E35*'Parametros'!$B$6-'WID_raw'!D35*'Parametros'!$B$5)/('Parametros'!$B$6-'Parametros'!$B$5)</x:f>
        <x:v>15760.500000000002</x:v>
      </x:c>
      <x:c r="F35" s="31" t="n">
        <x:f>('WID_raw'!F35*'Parametros'!$B$7-'WID_raw'!E35*'Parametros'!$B$6)/('Parametros'!$B$7-'Parametros'!$B$6)</x:f>
        <x:v>22687.300000000007</x:v>
      </x:c>
      <x:c r="G35" s="31" t="n">
        <x:f>('WID_raw'!G35*'Parametros'!$B$8-'WID_raw'!F35*'Parametros'!$B$7)/('Parametros'!$B$8-'Parametros'!$B$7)</x:f>
        <x:v>31526.499999999996</x:v>
      </x:c>
      <x:c r="H35" s="31" t="n">
        <x:f>'WID_raw'!H35</x:f>
        <x:v>70951.90000000001</x:v>
      </x:c>
      <x:c r="I35" s="31" t="n">
        <x:f>C35*B35</x:f>
        <x:v>24108.275880098343</x:v>
      </x:c>
      <x:c r="J35" s="31" t="n">
        <x:f>D35*B35</x:f>
        <x:v>3961.2421182394028</x:v>
      </x:c>
      <x:c r="K35" s="31" t="n">
        <x:f>E35*B35</x:f>
        <x:v>13037.727138876917</x:v>
      </x:c>
      <x:c r="L35" s="31" t="n">
        <x:f>F35*B35</x:f>
        <x:v>18767.85805766583</x:v>
      </x:c>
      <x:c r="M35" s="31" t="n">
        <x:f>G35*B35</x:f>
        <x:v>26080.004101634022</x:v>
      </x:c>
      <x:c r="N35" s="31" t="n">
        <x:f>H35*B35</x:f>
        <x:v>58694.29981186391</x:v>
      </x:c>
      <x:c r="O35" s="37" t="n">
        <x:f>'WID_raw'!AA35</x:f>
        <x:v>3</x:v>
      </x:c>
      <x:c r="P35" s="40" t="str">
        <x:f>'WID_raw'!AB35</x:f>
        <x:v>https://wid.world/bulk_download/WID_data_ES.csv</x:v>
      </x:c>
    </x:row>
    <x:row r="36">
      <x:c r="A36" s="25" t="n">
        <x:f>'WID_raw'!A36</x:f>
        <x:v>2021</x:v>
      </x:c>
      <x:c r="B36" s="28" t="n">
        <x:f>'WID_raw'!B36</x:f>
        <x:v>0.8483859300613403</x:v>
      </x:c>
      <x:c r="C36" s="31" t="n">
        <x:f>'WID_raw'!C36</x:f>
        <x:v>31464.6</x:v>
      </x:c>
      <x:c r="D36" s="31" t="n">
        <x:f>'WID_raw'!D36</x:f>
        <x:v>5149.3</x:v>
      </x:c>
      <x:c r="E36" s="31" t="n">
        <x:f>('WID_raw'!E36*'Parametros'!$B$6-'WID_raw'!D36*'Parametros'!$B$5)/('Parametros'!$B$6-'Parametros'!$B$5)</x:f>
        <x:v>16991.9</x:v>
      </x:c>
      <x:c r="F36" s="31" t="n">
        <x:f>('WID_raw'!F36*'Parametros'!$B$7-'WID_raw'!E36*'Parametros'!$B$6)/('Parametros'!$B$7-'Parametros'!$B$6)</x:f>
        <x:v>24584.1</x:v>
      </x:c>
      <x:c r="G36" s="31" t="n">
        <x:f>('WID_raw'!G36*'Parametros'!$B$8-'WID_raw'!F36*'Parametros'!$B$7)/('Parametros'!$B$8-'Parametros'!$B$7)</x:f>
        <x:v>33966.299999999996</x:v>
      </x:c>
      <x:c r="H36" s="31" t="n">
        <x:f>'WID_raw'!H36</x:f>
        <x:v>76631.40000000001</x:v>
      </x:c>
      <x:c r="I36" s="31" t="n">
        <x:f>C36*B36</x:f>
        <x:v>26694.123935008047</x:v>
      </x:c>
      <x:c r="J36" s="31" t="n">
        <x:f>D36*B36</x:f>
        <x:v>4368.59366966486</x:v>
      </x:c>
      <x:c r="K36" s="31" t="n">
        <x:f>E36*B36</x:f>
        <x:v>14415.68888500929</x:v>
      </x:c>
      <x:c r="L36" s="31" t="n">
        <x:f>F36*B36</x:f>
        <x:v>20856.804543220995</x:v>
      </x:c>
      <x:c r="M36" s="31" t="n">
        <x:f>G36*B36</x:f>
        <x:v>28816.5310162425</x:v>
      </x:c>
      <x:c r="N36" s="31" t="n">
        <x:f>H36*B36</x:f>
        <x:v>65013.0015609026</x:v>
      </x:c>
      <x:c r="O36" s="37" t="n">
        <x:f>'WID_raw'!AA36</x:f>
        <x:v>3</x:v>
      </x:c>
      <x:c r="P36" s="40" t="str">
        <x:f>'WID_raw'!AB36</x:f>
        <x:v>https://wid.world/bulk_download/WID_data_ES.csv</x:v>
      </x:c>
    </x:row>
    <x:row r="37">
      <x:c r="A37" s="25" t="n">
        <x:f>'WID_raw'!A37</x:f>
        <x:v>2022</x:v>
      </x:c>
      <x:c r="B37" s="28" t="n">
        <x:f>'WID_raw'!B37</x:f>
        <x:v>0.8883609175682068</x:v>
      </x:c>
      <x:c r="C37" s="31" t="n">
        <x:f>'WID_raw'!C37</x:f>
        <x:v>33244.5</x:v>
      </x:c>
      <x:c r="D37" s="31" t="n">
        <x:f>'WID_raw'!D37</x:f>
        <x:v>5388.3</x:v>
      </x:c>
      <x:c r="E37" s="31" t="n">
        <x:f>('WID_raw'!E37*'Parametros'!$B$6-'WID_raw'!D37*'Parametros'!$B$5)/('Parametros'!$B$6-'Parametros'!$B$5)</x:f>
        <x:v>18008.7</x:v>
      </x:c>
      <x:c r="F37" s="31" t="n">
        <x:f>('WID_raw'!F37*'Parametros'!$B$7-'WID_raw'!E37*'Parametros'!$B$6)/('Parametros'!$B$7-'Parametros'!$B$6)</x:f>
        <x:v>26448.3</x:v>
      </x:c>
      <x:c r="G37" s="31" t="n">
        <x:f>('WID_raw'!G37*'Parametros'!$B$8-'WID_raw'!F37*'Parametros'!$B$7)/('Parametros'!$B$8-'Parametros'!$B$7)</x:f>
        <x:v>35907.89999999999</x:v>
      </x:c>
      <x:c r="H37" s="31" t="n">
        <x:f>'WID_raw'!H37</x:f>
        <x:v>80469.5</x:v>
      </x:c>
      <x:c r="I37" s="31" t="n">
        <x:f>C37*B37</x:f>
        <x:v>29533.11452409625</x:v>
      </x:c>
      <x:c r="J37" s="31" t="n">
        <x:f>D37*B37</x:f>
        <x:v>4786.755132132769</x:v>
      </x:c>
      <x:c r="K37" s="31" t="n">
        <x:f>E37*B37</x:f>
        <x:v>15998.225256210566</x:v>
      </x:c>
      <x:c r="L37" s="31" t="n">
        <x:f>F37*B37</x:f>
        <x:v>23495.6360561192</x:v>
      </x:c>
      <x:c r="M37" s="31" t="n">
        <x:f>G37*B37</x:f>
        <x:v>31899.174991947402</x:v>
      </x:c>
      <x:c r="N37" s="31" t="n">
        <x:f>H37*B37</x:f>
        <x:v>71485.95885625482</x:v>
      </x:c>
      <x:c r="O37" s="37" t="n">
        <x:f>'WID_raw'!AA37</x:f>
        <x:v>3</x:v>
      </x:c>
      <x:c r="P37" s="40" t="str">
        <x:f>'WID_raw'!AB37</x:f>
        <x:v>https://wid.world/bulk_download/WID_data_ES.csv</x:v>
      </x:c>
    </x:row>
    <x:row r="38">
      <x:c r="A38" s="26" t="n">
        <x:f>'WID_raw'!A38</x:f>
        <x:v>2023</x:v>
      </x:c>
      <x:c r="B38" s="29" t="n">
        <x:f>'WID_raw'!B38</x:f>
        <x:v>0.9437524676322936</x:v>
      </x:c>
      <x:c r="C38" s="32" t="n">
        <x:f>'WID_raw'!C38</x:f>
        <x:v>33910.6</x:v>
      </x:c>
      <x:c r="D38" s="32" t="n">
        <x:f>'WID_raw'!D38</x:f>
        <x:v>5514</x:v>
      </x:c>
      <x:c r="E38" s="32" t="n">
        <x:f>('WID_raw'!E38*'Parametros'!$B$6-'WID_raw'!D38*'Parametros'!$B$5)/('Parametros'!$B$6-'Parametros'!$B$5)</x:f>
        <x:v>18405.399999999998</x:v>
      </x:c>
      <x:c r="F38" s="32" t="n">
        <x:f>('WID_raw'!F38*'Parametros'!$B$7-'WID_raw'!E38*'Parametros'!$B$6)/('Parametros'!$B$7-'Parametros'!$B$6)</x:f>
        <x:v>26951.6</x:v>
      </x:c>
      <x:c r="G38" s="32" t="n">
        <x:f>('WID_raw'!G38*'Parametros'!$B$8-'WID_raw'!F38*'Parametros'!$B$7)/('Parametros'!$B$8-'Parametros'!$B$7)</x:f>
        <x:v>36817.00000000001</x:v>
      </x:c>
      <x:c r="H38" s="32" t="n">
        <x:f>'WID_raw'!H38</x:f>
        <x:v>81865.20000000001</x:v>
      </x:c>
      <x:c r="I38" s="32" t="n">
        <x:f>C38*B38</x:f>
        <x:v>32003.212428891653</x:v>
      </x:c>
      <x:c r="J38" s="32" t="n">
        <x:f>D38*B38</x:f>
        <x:v>5203.851106524467</x:v>
      </x:c>
      <x:c r="K38" s="32" t="n">
        <x:f>E38*B38</x:f>
        <x:v>17370.141667759413</x:v>
      </x:c>
      <x:c r="L38" s="32" t="n">
        <x:f>F38*B38</x:f>
        <x:v>25435.63900663852</x:v>
      </x:c>
      <x:c r="M38" s="32" t="n">
        <x:f>G38*B38</x:f>
        <x:v>34746.13460081816</x:v>
      </x:c>
      <x:c r="N38" s="32" t="n">
        <x:f>H38*B38</x:f>
        <x:v>77260.48451321125</x:v>
      </x:c>
      <x:c r="O38" s="38" t="n">
        <x:f>'WID_raw'!AA38</x:f>
        <x:v>3</x:v>
      </x:c>
      <x:c r="P38" s="41" t="str">
        <x:f>'WID_raw'!AB38</x:f>
        <x:v>https://wid.world/bulk_download/WID_data_ES.csv</x:v>
      </x:c>
    </x:row>
  </x:sheetData>
  <x:mergeCells>
    <x:mergeCell ref="A1:P1"/>
    <x:mergeCell ref="A2:P2"/>
  </x:mergeCells>
  <x:pageMargins left="0.7" right="0.7" top="0.75" bottom="0.75" header="0.3" footer="0.3"/>
  <x:tableParts count="1">
    <x:tablePart xmlns:r="http://schemas.openxmlformats.org/officeDocument/2006/relationships" r:id="Rdc913e7d12cf4f4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3" max="23" width="34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</x:cols>
  <x:sheetData>
    <x:row r="1" ht="28" customHeight="1">
      <x:c r="A1" s="3" t="str">
        <x:v>WID: detalle equivalente al quinto quintil FEDEA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</x:row>
    <x:row r="2" ht="34" customHeight="1">
      <x:c r="A2" s="7" t="str">
        <x:v>El 20% superior se divide en decil 9 (P80-P90), centiles 91-99 (P90-P99) y 1% superior (P99-P100).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  <x:c r="W2" s="7"/>
    </x:row>
    <x:row r="4" ht="36" customHeight="1">
      <x:c r="A4" s="13" t="str">
        <x:v>Ano</x:v>
      </x:c>
      <x:c r="B4" s="13" t="str">
        <x:v>Q1, euros de 2025</x:v>
      </x:c>
      <x:c r="C4" s="13" t="str">
        <x:v>Q2, euros de 2025</x:v>
      </x:c>
      <x:c r="D4" s="13" t="str">
        <x:v>Q3, euros de 2025</x:v>
      </x:c>
      <x:c r="E4" s="13" t="str">
        <x:v>Q4, euros de 2025</x:v>
      </x:c>
      <x:c r="F4" s="13" t="str">
        <x:v>Decil 9, euros de 2025</x:v>
      </x:c>
      <x:c r="G4" s="13" t="str">
        <x:v>Centiles 91-99, euros de 2025</x:v>
      </x:c>
      <x:c r="H4" s="13" t="str">
        <x:v>1% superior, euros de 2025</x:v>
      </x:c>
      <x:c r="I4" s="13" t="str">
        <x:v>Q1, euros corrientes</x:v>
      </x:c>
      <x:c r="J4" s="13" t="str">
        <x:v>Q2, euros corrientes</x:v>
      </x:c>
      <x:c r="K4" s="13" t="str">
        <x:v>Q3, euros corrientes</x:v>
      </x:c>
      <x:c r="L4" s="13" t="str">
        <x:v>Q4, euros corrientes</x:v>
      </x:c>
      <x:c r="M4" s="13" t="str">
        <x:v>Decil 9, euros corrientes</x:v>
      </x:c>
      <x:c r="N4" s="13" t="str">
        <x:v>Centiles 91-99, euros corrientes</x:v>
      </x:c>
      <x:c r="O4" s="13" t="str">
        <x:v>1% superior, euros corrientes</x:v>
      </x:c>
      <x:c r="P4" s="13" t="str">
        <x:v>Q1, cuota de renta</x:v>
      </x:c>
      <x:c r="Q4" s="13" t="str">
        <x:v>Q2, cuota de renta</x:v>
      </x:c>
      <x:c r="R4" s="13" t="str">
        <x:v>Q3, cuota de renta</x:v>
      </x:c>
      <x:c r="S4" s="13" t="str">
        <x:v>Q4, cuota de renta</x:v>
      </x:c>
      <x:c r="T4" s="13" t="str">
        <x:v>Decil 9, cuota de renta</x:v>
      </x:c>
      <x:c r="U4" s="13" t="str">
        <x:v>Centiles 91-99, cuota de renta</x:v>
      </x:c>
      <x:c r="V4" s="13" t="str">
        <x:v>1% superior, cuota de renta</x:v>
      </x:c>
      <x:c r="W4" s="13" t="str">
        <x:v>Fuente URL</x:v>
      </x:c>
    </x:row>
    <x:row r="5">
      <x:c r="A5" s="24" t="n">
        <x:f>'WID_raw'!A5</x:f>
        <x:v>1990</x:v>
      </x:c>
      <x:c r="B5" s="30" t="n">
        <x:f>'WID_raw'!D5</x:f>
        <x:v>3689.9</x:v>
      </x:c>
      <x:c r="C5" s="30" t="n">
        <x:f>('WID_raw'!E5*'Parametros'!$B$6-'WID_raw'!D5*'Parametros'!$B$5)/('Parametros'!$B$6-'Parametros'!$B$5)</x:f>
        <x:v>12812.7</x:v>
      </x:c>
      <x:c r="D5" s="30" t="n">
        <x:f>('WID_raw'!F5*'Parametros'!$B$7-'WID_raw'!E5*'Parametros'!$B$6)/('Parametros'!$B$7-'Parametros'!$B$6)</x:f>
        <x:v>18946.6</x:v>
      </x:c>
      <x:c r="E5" s="30" t="n">
        <x:f>('WID_raw'!G5*'Parametros'!$B$8-'WID_raw'!F5*'Parametros'!$B$7)/('Parametros'!$B$8-'Parametros'!$B$7)</x:f>
        <x:v>27762.800000000003</x:v>
      </x:c>
      <x:c r="F5" s="30" t="n">
        <x:f>'WID_raw'!J5</x:f>
        <x:v>41414.10000000001</x:v>
      </x:c>
      <x:c r="G5" s="30" t="n">
        <x:f>('WID_raw'!K5*'Parametros'!$B$10-'WID_raw'!I5*'Parametros'!$B$9)/('Parametros'!$B$10-'Parametros'!$B$9)</x:f>
        <x:v>73705.90000000001</x:v>
      </x:c>
      <x:c r="H5" s="30" t="n">
        <x:f>'WID_raw'!L5</x:f>
        <x:v>309632.4</x:v>
      </x:c>
      <x:c r="I5" s="30" t="n">
        <x:f>B5*'WID_raw'!B5</x:f>
        <x:v>1414.8865521073342</x:v>
      </x:c>
      <x:c r="J5" s="30" t="n">
        <x:f>C5*'WID_raw'!B5</x:f>
        <x:v>4913.010359680653</x:v>
      </x:c>
      <x:c r="K5" s="30" t="n">
        <x:f>D5*'WID_raw'!B5</x:f>
        <x:v>7265.045000720023</x:v>
      </x:c>
      <x:c r="L5" s="30" t="n">
        <x:f>E5*'WID_raw'!B5</x:f>
        <x:v>10645.603503847124</x:v>
      </x:c>
      <x:c r="M5" s="30" t="n">
        <x:f>F5*'WID_raw'!B5</x:f>
        <x:v>15880.173760163789</x:v>
      </x:c>
      <x:c r="N5" s="30" t="n">
        <x:f>G5*'WID_raw'!B5</x:f>
        <x:v>28262.415436995034</x:v>
      </x:c>
      <x:c r="O5" s="30" t="n">
        <x:f>H5*'WID_raw'!B5</x:f>
        <x:v>118728.0736217022</x:v>
      </x:c>
      <x:c r="P5" s="33" t="n">
        <x:f>'WID_raw'!M5</x:f>
        <x:v>0.0278</x:v>
      </x:c>
      <x:c r="Q5" s="33" t="n">
        <x:f>'WID_raw'!N5-'WID_raw'!M5</x:f>
        <x:v>0.09670000000000001</x:v>
      </x:c>
      <x:c r="R5" s="33" t="n">
        <x:f>'WID_raw'!O5-'WID_raw'!N5</x:f>
        <x:v>0.14290000000000003</x:v>
      </x:c>
      <x:c r="S5" s="33" t="n">
        <x:f>'WID_raw'!P5-'WID_raw'!O5</x:f>
        <x:v>0.20939999999999998</x:v>
      </x:c>
      <x:c r="T5" s="33" t="n">
        <x:f>'WID_raw'!R5-'WID_raw'!P5</x:f>
        <x:v>0.1562</x:v>
      </x:c>
      <x:c r="U5" s="33" t="n">
        <x:f>'WID_raw'!S5-'WID_raw'!R5</x:f>
        <x:v>0.2502000000000001</x:v>
      </x:c>
      <x:c r="V5" s="33" t="n">
        <x:f>'WID_raw'!T5</x:f>
        <x:v>0.1168</x:v>
      </x:c>
      <x:c r="W5" s="39" t="str">
        <x:f>'WID_raw'!AB5</x:f>
        <x:v>https://wid.world/bulk_download/WID_data_ES.csv</x:v>
      </x:c>
    </x:row>
    <x:row r="6">
      <x:c r="A6" s="25" t="n">
        <x:f>'WID_raw'!A6</x:f>
        <x:v>1991</x:v>
      </x:c>
      <x:c r="B6" s="31" t="n">
        <x:f>'WID_raw'!D6</x:f>
        <x:v>3909.4</x:v>
      </x:c>
      <x:c r="C6" s="31" t="n">
        <x:f>('WID_raw'!E6*'Parametros'!$B$6-'WID_raw'!D6*'Parametros'!$B$5)/('Parametros'!$B$6-'Parametros'!$B$5)</x:f>
        <x:v>13132.800000000001</x:v>
      </x:c>
      <x:c r="D6" s="31" t="n">
        <x:f>('WID_raw'!F6*'Parametros'!$B$7-'WID_raw'!E6*'Parametros'!$B$6)/('Parametros'!$B$7-'Parametros'!$B$6)</x:f>
        <x:v>19481.3</x:v>
      </x:c>
      <x:c r="E6" s="31" t="n">
        <x:f>('WID_raw'!G6*'Parametros'!$B$8-'WID_raw'!F6*'Parametros'!$B$7)/('Parametros'!$B$8-'Parametros'!$B$7)</x:f>
        <x:v>28532.899999999994</x:v>
      </x:c>
      <x:c r="F6" s="31" t="n">
        <x:f>'WID_raw'!J6</x:f>
        <x:v>42095.5</x:v>
      </x:c>
      <x:c r="G6" s="31" t="n">
        <x:f>('WID_raw'!K6*'Parametros'!$B$10-'WID_raw'!I6*'Parametros'!$B$9)/('Parametros'!$B$10-'Parametros'!$B$9)</x:f>
        <x:v>73496.20000000003</x:v>
      </x:c>
      <x:c r="H6" s="31" t="n">
        <x:f>'WID_raw'!L6</x:f>
        <x:v>307613</x:v>
      </x:c>
      <x:c r="I6" s="31" t="n">
        <x:f>B6*'WID_raw'!B6</x:f>
        <x:v>1603.0151182413101</x:v>
      </x:c>
      <x:c r="J6" s="31" t="n">
        <x:f>C6*'WID_raw'!B6</x:f>
        <x:v>5384.989242553711</x:v>
      </x:c>
      <x:c r="K6" s="31" t="n">
        <x:f>D6*'WID_raw'!B6</x:f>
        <x:v>7988.135883510113</x:v>
      </x:c>
      <x:c r="L6" s="31" t="n">
        <x:f>E6*'WID_raw'!B6</x:f>
        <x:v>11699.664927422999</x:v>
      </x:c>
      <x:c r="M6" s="31" t="n">
        <x:f>F6*'WID_raw'!B6</x:f>
        <x:v>17260.889883339405</x:v>
      </x:c>
      <x:c r="N6" s="31" t="n">
        <x:f>G6*'WID_raw'!B6</x:f>
        <x:v>30136.471001505863</x:v>
      </x:c>
      <x:c r="O6" s="31" t="n">
        <x:f>H6*'WID_raw'!B6</x:f>
        <x:v>126134.00766551495</x:v>
      </x:c>
      <x:c r="P6" s="34" t="n">
        <x:f>'WID_raw'!M6</x:f>
        <x:v>0.0291</x:v>
      </x:c>
      <x:c r="Q6" s="34" t="n">
        <x:f>'WID_raw'!N6-'WID_raw'!M6</x:f>
        <x:v>0.0976</x:v>
      </x:c>
      <x:c r="R6" s="34" t="n">
        <x:f>'WID_raw'!O6-'WID_raw'!N6</x:f>
        <x:v>0.14469999999999997</x:v>
      </x:c>
      <x:c r="S6" s="34" t="n">
        <x:f>'WID_raw'!P6-'WID_raw'!O6</x:f>
        <x:v>0.2121</x:v>
      </x:c>
      <x:c r="T6" s="34" t="n">
        <x:f>'WID_raw'!R6-'WID_raw'!P6</x:f>
        <x:v>0.15640000000000004</x:v>
      </x:c>
      <x:c r="U6" s="34" t="n">
        <x:f>'WID_raw'!S6-'WID_raw'!R6</x:f>
        <x:v>0.24580000000000002</x:v>
      </x:c>
      <x:c r="V6" s="34" t="n">
        <x:f>'WID_raw'!T6</x:f>
        <x:v>0.1143</x:v>
      </x:c>
      <x:c r="W6" s="40" t="str">
        <x:f>'WID_raw'!AB6</x:f>
        <x:v>https://wid.world/bulk_download/WID_data_ES.csv</x:v>
      </x:c>
    </x:row>
    <x:row r="7">
      <x:c r="A7" s="25" t="n">
        <x:f>'WID_raw'!A7</x:f>
        <x:v>1992</x:v>
      </x:c>
      <x:c r="B7" s="31" t="n">
        <x:f>'WID_raw'!D7</x:f>
        <x:v>3934.4</x:v>
      </x:c>
      <x:c r="C7" s="31" t="n">
        <x:f>('WID_raw'!E7*'Parametros'!$B$6-'WID_raw'!D7*'Parametros'!$B$5)/('Parametros'!$B$6-'Parametros'!$B$5)</x:f>
        <x:v>13320.800000000001</x:v>
      </x:c>
      <x:c r="D7" s="31" t="n">
        <x:f>('WID_raw'!F7*'Parametros'!$B$7-'WID_raw'!E7*'Parametros'!$B$6)/('Parametros'!$B$7-'Parametros'!$B$6)</x:f>
        <x:v>19734.5</x:v>
      </x:c>
      <x:c r="E7" s="31" t="n">
        <x:f>('WID_raw'!G7*'Parametros'!$B$8-'WID_raw'!F7*'Parametros'!$B$7)/('Parametros'!$B$8-'Parametros'!$B$7)</x:f>
        <x:v>28725.499999999996</x:v>
      </x:c>
      <x:c r="F7" s="31" t="n">
        <x:f>'WID_raw'!J7</x:f>
        <x:v>41797</x:v>
      </x:c>
      <x:c r="G7" s="31" t="n">
        <x:f>('WID_raw'!K7*'Parametros'!$B$10-'WID_raw'!I7*'Parametros'!$B$9)/('Parametros'!$B$10-'Parametros'!$B$9)</x:f>
        <x:v>71372.1</x:v>
      </x:c>
      <x:c r="H7" s="31" t="n">
        <x:f>'WID_raw'!L7</x:f>
        <x:v>301249.3</x:v>
      </x:c>
      <x:c r="I7" s="31" t="n">
        <x:f>B7*'WID_raw'!B7</x:f>
        <x:v>1721.5286458015441</x:v>
      </x:c>
      <x:c r="J7" s="31" t="n">
        <x:f>C7*'WID_raw'!B7</x:f>
        <x:v>5828.624132013321</x:v>
      </x:c>
      <x:c r="K7" s="31" t="n">
        <x:f>D7*'WID_raw'!B7</x:f>
        <x:v>8634.990611165762</x:v>
      </x:c>
      <x:c r="L7" s="31" t="n">
        <x:f>E7*'WID_raw'!B7</x:f>
        <x:v>12569.075618892906</x:v>
      </x:c>
      <x:c r="M7" s="31" t="n">
        <x:f>F7*'WID_raw'!B7</x:f>
        <x:v>18288.616512954235</x:v>
      </x:c>
      <x:c r="N7" s="31" t="n">
        <x:f>G7*'WID_raw'!B7</x:f>
        <x:v>31229.441505950694</x:v>
      </x:c>
      <x:c r="O7" s="31" t="n">
        <x:f>H7*'WID_raw'!B7</x:f>
        <x:v>131814.07571107746</x:v>
      </x:c>
      <x:c r="P7" s="34" t="n">
        <x:f>'WID_raw'!M7</x:f>
        <x:v>0.0294</x:v>
      </x:c>
      <x:c r="Q7" s="34" t="n">
        <x:f>'WID_raw'!N7-'WID_raw'!M7</x:f>
        <x:v>0.09960000000000001</x:v>
      </x:c>
      <x:c r="R7" s="34" t="n">
        <x:f>'WID_raw'!O7-'WID_raw'!N7</x:f>
        <x:v>0.14750000000000002</x:v>
      </x:c>
      <x:c r="S7" s="34" t="n">
        <x:f>'WID_raw'!P7-'WID_raw'!O7</x:f>
        <x:v>0.2147</x:v>
      </x:c>
      <x:c r="T7" s="34" t="n">
        <x:f>'WID_raw'!R7-'WID_raw'!P7</x:f>
        <x:v>0.15620000000000006</x:v>
      </x:c>
      <x:c r="U7" s="34" t="n">
        <x:f>'WID_raw'!S7-'WID_raw'!R7</x:f>
        <x:v>0.24</x:v>
      </x:c>
      <x:c r="V7" s="34" t="n">
        <x:f>'WID_raw'!T7</x:f>
        <x:v>0.1126</x:v>
      </x:c>
      <x:c r="W7" s="40" t="str">
        <x:f>'WID_raw'!AB7</x:f>
        <x:v>https://wid.world/bulk_download/WID_data_ES.csv</x:v>
      </x:c>
    </x:row>
    <x:row r="8">
      <x:c r="A8" s="25" t="n">
        <x:f>'WID_raw'!A8</x:f>
        <x:v>1993</x:v>
      </x:c>
      <x:c r="B8" s="31" t="n">
        <x:f>'WID_raw'!D8</x:f>
        <x:v>3876.2</x:v>
      </x:c>
      <x:c r="C8" s="31" t="n">
        <x:f>('WID_raw'!E8*'Parametros'!$B$6-'WID_raw'!D8*'Parametros'!$B$5)/('Parametros'!$B$6-'Parametros'!$B$5)</x:f>
        <x:v>13117.400000000001</x:v>
      </x:c>
      <x:c r="D8" s="31" t="n">
        <x:f>('WID_raw'!F8*'Parametros'!$B$7-'WID_raw'!E8*'Parametros'!$B$6)/('Parametros'!$B$7-'Parametros'!$B$6)</x:f>
        <x:v>19512.8</x:v>
      </x:c>
      <x:c r="E8" s="31" t="n">
        <x:f>('WID_raw'!G8*'Parametros'!$B$8-'WID_raw'!F8*'Parametros'!$B$7)/('Parametros'!$B$8-'Parametros'!$B$7)</x:f>
        <x:v>28243.59999999999</x:v>
      </x:c>
      <x:c r="F8" s="31" t="n">
        <x:f>'WID_raw'!J8</x:f>
        <x:v>40222.8</x:v>
      </x:c>
      <x:c r="G8" s="31" t="n">
        <x:f>('WID_raw'!K8*'Parametros'!$B$10-'WID_raw'!I8*'Parametros'!$B$9)/('Parametros'!$B$10-'Parametros'!$B$9)</x:f>
        <x:v>68365.8</x:v>
      </x:c>
      <x:c r="H8" s="31" t="n">
        <x:f>'WID_raw'!L8</x:f>
        <x:v>285665.3</x:v>
      </x:c>
      <x:c r="I8" s="31" t="n">
        <x:f>B8*'WID_raw'!B8</x:f>
        <x:v>1773.0169461369517</x:v>
      </x:c>
      <x:c r="J8" s="31" t="n">
        <x:f>C8*'WID_raw'!B8</x:f>
        <x:v>6000.044499576094</x:v>
      </x:c>
      <x:c r="K8" s="31" t="n">
        <x:f>D8*'WID_raw'!B8</x:f>
        <x:v>8925.37151503563</x:v>
      </x:c>
      <x:c r="L8" s="31" t="n">
        <x:f>E8*'WID_raw'!B8</x:f>
        <x:v>12918.936437726019</x:v>
      </x:c>
      <x:c r="M8" s="31" t="n">
        <x:f>F8*'WID_raw'!B8</x:f>
        <x:v>18398.355611443523</x:v>
      </x:c>
      <x:c r="N8" s="31" t="n">
        <x:f>G8*'WID_raw'!B8</x:f>
        <x:v>31271.276491463188</x:v>
      </x:c>
      <x:c r="O8" s="31" t="n">
        <x:f>H8*'WID_raw'!B8</x:f>
        <x:v>130666.48207607867</x:v>
      </x:c>
      <x:c r="P8" s="34" t="n">
        <x:f>'WID_raw'!M8</x:f>
        <x:v>0.0298</x:v>
      </x:c>
      <x:c r="Q8" s="34" t="n">
        <x:f>'WID_raw'!N8-'WID_raw'!M8</x:f>
        <x:v>0.101</x:v>
      </x:c>
      <x:c r="R8" s="34" t="n">
        <x:f>'WID_raw'!O8-'WID_raw'!N8</x:f>
        <x:v>0.15020000000000003</x:v>
      </x:c>
      <x:c r="S8" s="34" t="n">
        <x:f>'WID_raw'!P8-'WID_raw'!O8</x:f>
        <x:v>0.21739999999999998</x:v>
      </x:c>
      <x:c r="T8" s="34" t="n">
        <x:f>'WID_raw'!R8-'WID_raw'!P8</x:f>
        <x:v>0.1548</x:v>
      </x:c>
      <x:c r="U8" s="34" t="n">
        <x:f>'WID_raw'!S8-'WID_raw'!R8</x:f>
        <x:v>0.2369</x:v>
      </x:c>
      <x:c r="V8" s="34" t="n">
        <x:f>'WID_raw'!T8</x:f>
        <x:v>0.1099</x:v>
      </x:c>
      <x:c r="W8" s="40" t="str">
        <x:f>'WID_raw'!AB8</x:f>
        <x:v>https://wid.world/bulk_download/WID_data_ES.csv</x:v>
      </x:c>
    </x:row>
    <x:row r="9">
      <x:c r="A9" s="25" t="n">
        <x:f>'WID_raw'!A9</x:f>
        <x:v>1994</x:v>
      </x:c>
      <x:c r="B9" s="31" t="n">
        <x:f>'WID_raw'!D9</x:f>
        <x:v>3750.7</x:v>
      </x:c>
      <x:c r="C9" s="31" t="n">
        <x:f>('WID_raw'!E9*'Parametros'!$B$6-'WID_raw'!D9*'Parametros'!$B$5)/('Parametros'!$B$6-'Parametros'!$B$5)</x:f>
        <x:v>12871.300000000001</x:v>
      </x:c>
      <x:c r="D9" s="31" t="n">
        <x:f>('WID_raw'!F9*'Parametros'!$B$7-'WID_raw'!E9*'Parametros'!$B$6)/('Parametros'!$B$7-'Parametros'!$B$6)</x:f>
        <x:v>19290.100000000006</x:v>
      </x:c>
      <x:c r="E9" s="31" t="n">
        <x:f>('WID_raw'!G9*'Parametros'!$B$8-'WID_raw'!F9*'Parametros'!$B$7)/('Parametros'!$B$8-'Parametros'!$B$7)</x:f>
        <x:v>28146.7</x:v>
      </x:c>
      <x:c r="F9" s="31" t="n">
        <x:f>'WID_raw'!J9</x:f>
        <x:v>40036.2</x:v>
      </x:c>
      <x:c r="G9" s="31" t="n">
        <x:f>('WID_raw'!K9*'Parametros'!$B$10-'WID_raw'!I9*'Parametros'!$B$9)/('Parametros'!$B$10-'Parametros'!$B$9)</x:f>
        <x:v>68813.00000000004</x:v>
      </x:c>
      <x:c r="H9" s="31" t="n">
        <x:f>'WID_raw'!L9</x:f>
        <x:v>295548.3</x:v>
      </x:c>
      <x:c r="I9" s="31" t="n">
        <x:f>B9*'WID_raw'!B9</x:f>
        <x:v>1782.1745740294455</x:v>
      </x:c>
      <x:c r="J9" s="31" t="n">
        <x:f>C9*'WID_raw'!B9</x:f>
        <x:v>6115.899324047566</x:v>
      </x:c>
      <x:c r="K9" s="31" t="n">
        <x:f>D9*'WID_raw'!B9</x:f>
        <x:v>9165.84257618189</x:v>
      </x:c>
      <x:c r="L9" s="31" t="n">
        <x:f>E9*'WID_raw'!B9</x:f>
        <x:v>13374.125651967524</x:v>
      </x:c>
      <x:c r="M9" s="31" t="n">
        <x:f>F9*'WID_raw'!B9</x:f>
        <x:v>19023.514992070195</x:v>
      </x:c>
      <x:c r="N9" s="31" t="n">
        <x:f>G9*'WID_raw'!B9</x:f>
        <x:v>32697.037609696406</x:v>
      </x:c>
      <x:c r="O9" s="31" t="n">
        <x:f>H9*'WID_raw'!B9</x:f>
        <x:v>140432.0968506217</x:v>
      </x:c>
      <x:c r="P9" s="34" t="n">
        <x:f>'WID_raw'!M9</x:f>
        <x:v>0.0289</x:v>
      </x:c>
      <x:c r="Q9" s="34" t="n">
        <x:f>'WID_raw'!N9-'WID_raw'!M9</x:f>
        <x:v>0.09910000000000001</x:v>
      </x:c>
      <x:c r="R9" s="34" t="n">
        <x:f>'WID_raw'!O9-'WID_raw'!N9</x:f>
        <x:v>0.1486</x:v>
      </x:c>
      <x:c r="S9" s="34" t="n">
        <x:f>'WID_raw'!P9-'WID_raw'!O9</x:f>
        <x:v>0.2168</x:v>
      </x:c>
      <x:c r="T9" s="34" t="n">
        <x:f>'WID_raw'!R9-'WID_raw'!P9</x:f>
        <x:v>0.15420000000000006</x:v>
      </x:c>
      <x:c r="U9" s="34" t="n">
        <x:f>'WID_raw'!S9-'WID_raw'!R9</x:f>
        <x:v>0.23859999999999992</x:v>
      </x:c>
      <x:c r="V9" s="34" t="n">
        <x:f>'WID_raw'!T9</x:f>
        <x:v>0.1138</x:v>
      </x:c>
      <x:c r="W9" s="40" t="str">
        <x:f>'WID_raw'!AB9</x:f>
        <x:v>https://wid.world/bulk_download/WID_data_ES.csv</x:v>
      </x:c>
    </x:row>
    <x:row r="10">
      <x:c r="A10" s="25" t="n">
        <x:f>'WID_raw'!A10</x:f>
        <x:v>1995</x:v>
      </x:c>
      <x:c r="B10" s="31" t="n">
        <x:f>'WID_raw'!D10</x:f>
        <x:v>3697.3</x:v>
      </x:c>
      <x:c r="C10" s="31" t="n">
        <x:f>('WID_raw'!E10*'Parametros'!$B$6-'WID_raw'!D10*'Parametros'!$B$5)/('Parametros'!$B$6-'Parametros'!$B$5)</x:f>
        <x:v>12959.900000000001</x:v>
      </x:c>
      <x:c r="D10" s="31" t="n">
        <x:f>('WID_raw'!F10*'Parametros'!$B$7-'WID_raw'!E10*'Parametros'!$B$6)/('Parametros'!$B$7-'Parametros'!$B$6)</x:f>
        <x:v>19520.400000000005</x:v>
      </x:c>
      <x:c r="E10" s="31" t="n">
        <x:f>('WID_raw'!G10*'Parametros'!$B$8-'WID_raw'!F10*'Parametros'!$B$7)/('Parametros'!$B$8-'Parametros'!$B$7)</x:f>
        <x:v>28583.999999999985</x:v>
      </x:c>
      <x:c r="F10" s="31" t="n">
        <x:f>'WID_raw'!J10</x:f>
        <x:v>40869.4</x:v>
      </x:c>
      <x:c r="G10" s="31" t="n">
        <x:f>('WID_raw'!K10*'Parametros'!$B$10-'WID_raw'!I10*'Parametros'!$B$9)/('Parametros'!$B$10-'Parametros'!$B$9)</x:f>
        <x:v>70017.6</x:v>
      </x:c>
      <x:c r="H10" s="31" t="n">
        <x:f>'WID_raw'!L10</x:f>
        <x:v>308519.2</x:v>
      </x:c>
      <x:c r="I10" s="31" t="n">
        <x:f>B10*'WID_raw'!B10</x:f>
        <x:v>1843.4669709026814</x:v>
      </x:c>
      <x:c r="J10" s="31" t="n">
        <x:f>C10*'WID_raw'!B10</x:f>
        <x:v>6461.782272523642</x:v>
      </x:c>
      <x:c r="K10" s="31" t="n">
        <x:f>D10*'WID_raw'!B10</x:f>
        <x:v>9732.835490441325</x:v>
      </x:c>
      <x:c r="L10" s="31" t="n">
        <x:f>E10*'WID_raw'!B10</x:f>
        <x:v>14251.92975854873</x:v>
      </x:c>
      <x:c r="M10" s="31" t="n">
        <x:f>F10*'WID_raw'!B10</x:f>
        <x:v>20377.40757325888</x:v>
      </x:c>
      <x:c r="N10" s="31" t="n">
        <x:f>G10*'WID_raw'!B10</x:f>
        <x:v>34910.64641275406</x:v>
      </x:c>
      <x:c r="O10" s="31" t="n">
        <x:f>H10*'WID_raw'!B10</x:f>
        <x:v>153827.10493855478</x:v>
      </x:c>
      <x:c r="P10" s="34" t="n">
        <x:f>'WID_raw'!M10</x:f>
        <x:v>0.028</x:v>
      </x:c>
      <x:c r="Q10" s="34" t="n">
        <x:f>'WID_raw'!N10-'WID_raw'!M10</x:f>
        <x:v>0.09809999999999999</x:v>
      </x:c>
      <x:c r="R10" s="34" t="n">
        <x:f>'WID_raw'!O10-'WID_raw'!N10</x:f>
        <x:v>0.1477</x:v>
      </x:c>
      <x:c r="S10" s="34" t="n">
        <x:f>'WID_raw'!P10-'WID_raw'!O10</x:f>
        <x:v>0.2163</x:v>
      </x:c>
      <x:c r="T10" s="34" t="n">
        <x:f>'WID_raw'!R10-'WID_raw'!P10</x:f>
        <x:v>0.15470000000000006</x:v>
      </x:c>
      <x:c r="U10" s="34" t="n">
        <x:f>'WID_raw'!S10-'WID_raw'!R10</x:f>
        <x:v>0.23850000000000005</x:v>
      </x:c>
      <x:c r="V10" s="34" t="n">
        <x:f>'WID_raw'!T10</x:f>
        <x:v>0.1167</x:v>
      </x:c>
      <x:c r="W10" s="40" t="str">
        <x:f>'WID_raw'!AB10</x:f>
        <x:v>https://wid.world/bulk_download/WID_data_ES.csv</x:v>
      </x:c>
    </x:row>
    <x:row r="11">
      <x:c r="A11" s="25" t="n">
        <x:f>'WID_raw'!A11</x:f>
        <x:v>1996</x:v>
      </x:c>
      <x:c r="B11" s="31" t="n">
        <x:f>'WID_raw'!D11</x:f>
        <x:v>3873.5</x:v>
      </x:c>
      <x:c r="C11" s="31" t="n">
        <x:f>('WID_raw'!E11*'Parametros'!$B$6-'WID_raw'!D11*'Parametros'!$B$5)/('Parametros'!$B$6-'Parametros'!$B$5)</x:f>
        <x:v>13219.299999999997</x:v>
      </x:c>
      <x:c r="D11" s="31" t="n">
        <x:f>('WID_raw'!F11*'Parametros'!$B$7-'WID_raw'!E11*'Parametros'!$B$6)/('Parametros'!$B$7-'Parametros'!$B$6)</x:f>
        <x:v>19665.000000000007</x:v>
      </x:c>
      <x:c r="E11" s="31" t="n">
        <x:f>('WID_raw'!G11*'Parametros'!$B$8-'WID_raw'!F11*'Parametros'!$B$7)/('Parametros'!$B$8-'Parametros'!$B$7)</x:f>
        <x:v>28822.599999999988</x:v>
      </x:c>
      <x:c r="F11" s="31" t="n">
        <x:f>'WID_raw'!J11</x:f>
        <x:v>41330.60000000001</x:v>
      </x:c>
      <x:c r="G11" s="31" t="n">
        <x:f>('WID_raw'!K11*'Parametros'!$B$10-'WID_raw'!I11*'Parametros'!$B$9)/('Parametros'!$B$10-'Parametros'!$B$9)</x:f>
        <x:v>70723.80000000002</x:v>
      </x:c>
      <x:c r="H11" s="31" t="n">
        <x:f>'WID_raw'!L11</x:f>
        <x:v>307504.2</x:v>
      </x:c>
      <x:c r="I11" s="31" t="n">
        <x:f>B11*'WID_raw'!B11</x:f>
        <x:v>1999.558673799038</x:v>
      </x:c>
      <x:c r="J11" s="31" t="n">
        <x:f>C11*'WID_raw'!B11</x:f>
        <x:v>6824.000510275363</x:v>
      </x:c>
      <x:c r="K11" s="31" t="n">
        <x:f>D11*'WID_raw'!B11</x:f>
        <x:v>10151.367321610454</x:v>
      </x:c>
      <x:c r="L11" s="31" t="n">
        <x:f>E11*'WID_raw'!B11</x:f>
        <x:v>14878.657501339905</x:v>
      </x:c>
      <x:c r="M11" s="31" t="n">
        <x:f>F11*'WID_raw'!B11</x:f>
        <x:v>21335.474305748947</x:v>
      </x:c>
      <x:c r="N11" s="31" t="n">
        <x:f>G11*'WID_raw'!B11</x:f>
        <x:v>36508.684067130096</x:v>
      </x:c>
      <x:c r="O11" s="31" t="n">
        <x:f>H11*'WID_raw'!B11</x:f>
        <x:v>158738.2703858614</x:v>
      </x:c>
      <x:c r="P11" s="34" t="n">
        <x:f>'WID_raw'!M11</x:f>
        <x:v>0.029</x:v>
      </x:c>
      <x:c r="Q11" s="34" t="n">
        <x:f>'WID_raw'!N11-'WID_raw'!M11</x:f>
        <x:v>0.0991</x:v>
      </x:c>
      <x:c r="R11" s="34" t="n">
        <x:f>'WID_raw'!O11-'WID_raw'!N11</x:f>
        <x:v>0.1473</x:v>
      </x:c>
      <x:c r="S11" s="34" t="n">
        <x:f>'WID_raw'!P11-'WID_raw'!O11</x:f>
        <x:v>0.21600000000000003</x:v>
      </x:c>
      <x:c r="T11" s="34" t="n">
        <x:f>'WID_raw'!R11-'WID_raw'!P11</x:f>
        <x:v>0.15489999999999998</x:v>
      </x:c>
      <x:c r="U11" s="34" t="n">
        <x:f>'WID_raw'!S11-'WID_raw'!R11</x:f>
        <x:v>0.23850000000000005</x:v>
      </x:c>
      <x:c r="V11" s="34" t="n">
        <x:f>'WID_raw'!T11</x:f>
        <x:v>0.1152</x:v>
      </x:c>
      <x:c r="W11" s="40" t="str">
        <x:f>'WID_raw'!AB11</x:f>
        <x:v>https://wid.world/bulk_download/WID_data_ES.csv</x:v>
      </x:c>
    </x:row>
    <x:row r="12">
      <x:c r="A12" s="25" t="n">
        <x:f>'WID_raw'!A12</x:f>
        <x:v>1997</x:v>
      </x:c>
      <x:c r="B12" s="31" t="n">
        <x:f>'WID_raw'!D12</x:f>
        <x:v>4046.1</x:v>
      </x:c>
      <x:c r="C12" s="31" t="n">
        <x:f>('WID_raw'!E12*'Parametros'!$B$6-'WID_raw'!D12*'Parametros'!$B$5)/('Parametros'!$B$6-'Parametros'!$B$5)</x:f>
        <x:v>13925.300000000001</x:v>
      </x:c>
      <x:c r="D12" s="31" t="n">
        <x:f>('WID_raw'!F12*'Parametros'!$B$7-'WID_raw'!E12*'Parametros'!$B$6)/('Parametros'!$B$7-'Parametros'!$B$6)</x:f>
        <x:v>20560.6</x:v>
      </x:c>
      <x:c r="E12" s="31" t="n">
        <x:f>('WID_raw'!G12*'Parametros'!$B$8-'WID_raw'!F12*'Parametros'!$B$7)/('Parametros'!$B$8-'Parametros'!$B$7)</x:f>
        <x:v>29796.399999999994</x:v>
      </x:c>
      <x:c r="F12" s="31" t="n">
        <x:f>'WID_raw'!J12</x:f>
        <x:v>41976.3</x:v>
      </x:c>
      <x:c r="G12" s="31" t="n">
        <x:f>('WID_raw'!K12*'Parametros'!$B$10-'WID_raw'!I12*'Parametros'!$B$9)/('Parametros'!$B$10-'Parametros'!$B$9)</x:f>
        <x:v>70480.00000000003</x:v>
      </x:c>
      <x:c r="H12" s="31" t="n">
        <x:f>'WID_raw'!L12</x:f>
        <x:v>298378.8</x:v>
      </x:c>
      <x:c r="I12" s="31" t="n">
        <x:f>B12*'WID_raw'!B12</x:f>
        <x:v>2140.1427759826183</x:v>
      </x:c>
      <x:c r="J12" s="31" t="n">
        <x:f>C12*'WID_raw'!B12</x:f>
        <x:v>7365.643508166076</x:v>
      </x:c>
      <x:c r="K12" s="31" t="n">
        <x:f>D12*'WID_raw'!B12</x:f>
        <x:v>10875.316863119602</x:v>
      </x:c>
      <x:c r="L12" s="31" t="n">
        <x:f>E12*'WID_raw'!B12</x:f>
        <x:v>15760.497815251347</x:v>
      </x:c>
      <x:c r="M12" s="31" t="n">
        <x:f>F12*'WID_raw'!B12</x:f>
        <x:v>22202.930033236742</x:v>
      </x:c>
      <x:c r="N12" s="31" t="n">
        <x:f>G12*'WID_raw'!B12</x:f>
        <x:v>37279.667544364944</x:v>
      </x:c>
      <x:c r="O12" s="31" t="n">
        <x:f>H12*'WID_raw'!B12</x:f>
        <x:v>157824.38232529163</x:v>
      </x:c>
      <x:c r="P12" s="34" t="n">
        <x:f>'WID_raw'!M12</x:f>
        <x:v>0.0298</x:v>
      </x:c>
      <x:c r="Q12" s="34" t="n">
        <x:f>'WID_raw'!N12-'WID_raw'!M12</x:f>
        <x:v>0.10240000000000002</x:v>
      </x:c>
      <x:c r="R12" s="34" t="n">
        <x:f>'WID_raw'!O12-'WID_raw'!N12</x:f>
        <x:v>0.15119999999999997</x:v>
      </x:c>
      <x:c r="S12" s="34" t="n">
        <x:f>'WID_raw'!P12-'WID_raw'!O12</x:f>
        <x:v>0.21920000000000006</x:v>
      </x:c>
      <x:c r="T12" s="34" t="n">
        <x:f>'WID_raw'!R12-'WID_raw'!P12</x:f>
        <x:v>0.15439999999999998</x:v>
      </x:c>
      <x:c r="U12" s="34" t="n">
        <x:f>'WID_raw'!S12-'WID_raw'!R12</x:f>
        <x:v>0.23330000000000006</x:v>
      </x:c>
      <x:c r="V12" s="34" t="n">
        <x:f>'WID_raw'!T12</x:f>
        <x:v>0.1097</x:v>
      </x:c>
      <x:c r="W12" s="40" t="str">
        <x:f>'WID_raw'!AB12</x:f>
        <x:v>https://wid.world/bulk_download/WID_data_ES.csv</x:v>
      </x:c>
    </x:row>
    <x:row r="13">
      <x:c r="A13" s="25" t="n">
        <x:f>'WID_raw'!A13</x:f>
        <x:v>1998</x:v>
      </x:c>
      <x:c r="B13" s="31" t="n">
        <x:f>'WID_raw'!D13</x:f>
        <x:v>4216.5</x:v>
      </x:c>
      <x:c r="C13" s="31" t="n">
        <x:f>('WID_raw'!E13*'Parametros'!$B$6-'WID_raw'!D13*'Parametros'!$B$5)/('Parametros'!$B$6-'Parametros'!$B$5)</x:f>
        <x:v>14089.099999999999</x:v>
      </x:c>
      <x:c r="D13" s="31" t="n">
        <x:f>('WID_raw'!F13*'Parametros'!$B$7-'WID_raw'!E13*'Parametros'!$B$6)/('Parametros'!$B$7-'Parametros'!$B$6)</x:f>
        <x:v>20929.600000000002</x:v>
      </x:c>
      <x:c r="E13" s="31" t="n">
        <x:f>('WID_raw'!G13*'Parametros'!$B$8-'WID_raw'!F13*'Parametros'!$B$7)/('Parametros'!$B$8-'Parametros'!$B$7)</x:f>
        <x:v>30654.799999999996</x:v>
      </x:c>
      <x:c r="F13" s="31" t="n">
        <x:f>'WID_raw'!J13</x:f>
        <x:v>43780.5</x:v>
      </x:c>
      <x:c r="G13" s="31" t="n">
        <x:f>('WID_raw'!K13*'Parametros'!$B$10-'WID_raw'!I13*'Parametros'!$B$9)/('Parametros'!$B$10-'Parametros'!$B$9)</x:f>
        <x:v>72740.20000000001</x:v>
      </x:c>
      <x:c r="H13" s="31" t="n">
        <x:f>'WID_raw'!L13</x:f>
        <x:v>307429.5</x:v>
      </x:c>
      <x:c r="I13" s="31" t="n">
        <x:f>B13*'WID_raw'!B13</x:f>
        <x:v>2289.0369271337986</x:v>
      </x:c>
      <x:c r="J13" s="31" t="n">
        <x:f>C13*'WID_raw'!B13</x:f>
        <x:v>7648.635164254903</x:v>
      </x:c>
      <x:c r="K13" s="31" t="n">
        <x:f>D13*'WID_raw'!B13</x:f>
        <x:v>11362.178885364534</x:v>
      </x:c>
      <x:c r="L13" s="31" t="n">
        <x:f>E13*'WID_raw'!B13</x:f>
        <x:v>16641.75719053745</x:v>
      </x:c>
      <x:c r="M13" s="31" t="n">
        <x:f>F13*'WID_raw'!B13</x:f>
        <x:v>23767.385553985834</x:v>
      </x:c>
      <x:c r="N13" s="31" t="n">
        <x:f>G13*'WID_raw'!B13</x:f>
        <x:v>39488.91352711916</x:v>
      </x:c>
      <x:c r="O13" s="31" t="n">
        <x:f>H13*'WID_raw'!B13</x:f>
        <x:v>166896.11715647578</x:v>
      </x:c>
      <x:c r="P13" s="34" t="n">
        <x:f>'WID_raw'!M13</x:f>
        <x:v>0.0301</x:v>
      </x:c>
      <x:c r="Q13" s="34" t="n">
        <x:f>'WID_raw'!N13-'WID_raw'!M13</x:f>
        <x:v>0.10079999999999999</x:v>
      </x:c>
      <x:c r="R13" s="34" t="n">
        <x:f>'WID_raw'!O13-'WID_raw'!N13</x:f>
        <x:v>0.14960000000000004</x:v>
      </x:c>
      <x:c r="S13" s="34" t="n">
        <x:f>'WID_raw'!P13-'WID_raw'!O13</x:f>
        <x:v>0.21909999999999996</x:v>
      </x:c>
      <x:c r="T13" s="34" t="n">
        <x:f>'WID_raw'!R13-'WID_raw'!P13</x:f>
        <x:v>0.15650000000000003</x:v>
      </x:c>
      <x:c r="U13" s="34" t="n">
        <x:f>'WID_raw'!S13-'WID_raw'!R13</x:f>
        <x:v>0.23399999999999999</x:v>
      </x:c>
      <x:c r="V13" s="34" t="n">
        <x:f>'WID_raw'!T13</x:f>
        <x:v>0.1099</x:v>
      </x:c>
      <x:c r="W13" s="40" t="str">
        <x:f>'WID_raw'!AB13</x:f>
        <x:v>https://wid.world/bulk_download/WID_data_ES.csv</x:v>
      </x:c>
    </x:row>
    <x:row r="14">
      <x:c r="A14" s="25" t="n">
        <x:f>'WID_raw'!A14</x:f>
        <x:v>1999</x:v>
      </x:c>
      <x:c r="B14" s="31" t="n">
        <x:f>'WID_raw'!D14</x:f>
        <x:v>4195.1</x:v>
      </x:c>
      <x:c r="C14" s="31" t="n">
        <x:f>('WID_raw'!E14*'Parametros'!$B$6-'WID_raw'!D14*'Parametros'!$B$5)/('Parametros'!$B$6-'Parametros'!$B$5)</x:f>
        <x:v>14275.100000000002</x:v>
      </x:c>
      <x:c r="D14" s="31" t="n">
        <x:f>('WID_raw'!F14*'Parametros'!$B$7-'WID_raw'!E14*'Parametros'!$B$6)/('Parametros'!$B$7-'Parametros'!$B$6)</x:f>
        <x:v>21322.4</x:v>
      </x:c>
      <x:c r="E14" s="31" t="n">
        <x:f>('WID_raw'!G14*'Parametros'!$B$8-'WID_raw'!F14*'Parametros'!$B$7)/('Parametros'!$B$8-'Parametros'!$B$7)</x:f>
        <x:v>31248.999999999996</x:v>
      </x:c>
      <x:c r="F14" s="31" t="n">
        <x:f>'WID_raw'!J14</x:f>
        <x:v>44861.3</x:v>
      </x:c>
      <x:c r="G14" s="31" t="n">
        <x:f>('WID_raw'!K14*'Parametros'!$B$10-'WID_raw'!I14*'Parametros'!$B$9)/('Parametros'!$B$10-'Parametros'!$B$9)</x:f>
        <x:v>74622.10000000003</x:v>
      </x:c>
      <x:c r="H14" s="31" t="n">
        <x:f>'WID_raw'!L14</x:f>
        <x:v>319819.9</x:v>
      </x:c>
      <x:c r="I14" s="31" t="n">
        <x:f>B14*'WID_raw'!B14</x:f>
        <x:v>2337.055695050955</x:v>
      </x:c>
      <x:c r="J14" s="31" t="n">
        <x:f>C14*'WID_raw'!B14</x:f>
        <x:v>7952.54076241851</x:v>
      </x:c>
      <x:c r="K14" s="31" t="n">
        <x:f>D14*'WID_raw'!B14</x:f>
        <x:v>11878.533611154557</x:v>
      </x:c>
      <x:c r="L14" s="31" t="n">
        <x:f>E14*'WID_raw'!B14</x:f>
        <x:v>17408.56080061197</x:v>
      </x:c>
      <x:c r="M14" s="31" t="n">
        <x:f>F14*'WID_raw'!B14</x:f>
        <x:v>24991.861136180163</x:v>
      </x:c>
      <x:c r="N14" s="31" t="n">
        <x:f>G14*'WID_raw'!B14</x:f>
        <x:v>41571.35796087386</x:v>
      </x:c>
      <x:c r="O14" s="31" t="n">
        <x:f>H14*'WID_raw'!B14</x:f>
        <x:v>178169.0349897802</x:v>
      </x:c>
      <x:c r="P14" s="34" t="n">
        <x:f>'WID_raw'!M14</x:f>
        <x:v>0.0293</x:v>
      </x:c>
      <x:c r="Q14" s="34" t="n">
        <x:f>'WID_raw'!N14-'WID_raw'!M14</x:f>
        <x:v>0.0998</x:v>
      </x:c>
      <x:c r="R14" s="34" t="n">
        <x:f>'WID_raw'!O14-'WID_raw'!N14</x:f>
        <x:v>0.1491</x:v>
      </x:c>
      <x:c r="S14" s="34" t="n">
        <x:f>'WID_raw'!P14-'WID_raw'!O14</x:f>
        <x:v>0.21839999999999998</x:v>
      </x:c>
      <x:c r="T14" s="34" t="n">
        <x:f>'WID_raw'!R14-'WID_raw'!P14</x:f>
        <x:v>0.1569000000000001</x:v>
      </x:c>
      <x:c r="U14" s="34" t="n">
        <x:f>'WID_raw'!S14-'WID_raw'!R14</x:f>
        <x:v>0.2346999999999999</x:v>
      </x:c>
      <x:c r="V14" s="34" t="n">
        <x:f>'WID_raw'!T14</x:f>
        <x:v>0.1118</x:v>
      </x:c>
      <x:c r="W14" s="40" t="str">
        <x:f>'WID_raw'!AB14</x:f>
        <x:v>https://wid.world/bulk_download/WID_data_ES.csv</x:v>
      </x:c>
    </x:row>
    <x:row r="15">
      <x:c r="A15" s="25" t="n">
        <x:f>'WID_raw'!A15</x:f>
        <x:v>2000</x:v>
      </x:c>
      <x:c r="B15" s="31" t="n">
        <x:f>'WID_raw'!D15</x:f>
        <x:v>4520.6</x:v>
      </x:c>
      <x:c r="C15" s="31" t="n">
        <x:f>('WID_raw'!E15*'Parametros'!$B$6-'WID_raw'!D15*'Parametros'!$B$5)/('Parametros'!$B$6-'Parametros'!$B$5)</x:f>
        <x:v>15295</x:v>
      </x:c>
      <x:c r="D15" s="31" t="n">
        <x:f>('WID_raw'!F15*'Parametros'!$B$7-'WID_raw'!E15*'Parametros'!$B$6)/('Parametros'!$B$7-'Parametros'!$B$6)</x:f>
        <x:v>22674.300000000003</x:v>
      </x:c>
      <x:c r="E15" s="31" t="n">
        <x:f>('WID_raw'!G15*'Parametros'!$B$8-'WID_raw'!F15*'Parametros'!$B$7)/('Parametros'!$B$8-'Parametros'!$B$7)</x:f>
        <x:v>32466.899999999994</x:v>
      </x:c>
      <x:c r="F15" s="31" t="n">
        <x:f>'WID_raw'!J15</x:f>
        <x:v>45815.5</x:v>
      </x:c>
      <x:c r="G15" s="31" t="n">
        <x:f>('WID_raw'!K15*'Parametros'!$B$10-'WID_raw'!I15*'Parametros'!$B$9)/('Parametros'!$B$10-'Parametros'!$B$9)</x:f>
        <x:v>76824.70000000004</x:v>
      </x:c>
      <x:c r="H15" s="31" t="n">
        <x:f>'WID_raw'!L15</x:f>
        <x:v>327621.3</x:v>
      </x:c>
      <x:c r="I15" s="31" t="n">
        <x:f>B15*'WID_raw'!B15</x:f>
        <x:v>2604.336214888096</x:v>
      </x:c>
      <x:c r="J15" s="31" t="n">
        <x:f>C15*'WID_raw'!B15</x:f>
        <x:v>8811.512278616428</x:v>
      </x:c>
      <x:c r="K15" s="31" t="n">
        <x:f>D15*'WID_raw'!B15</x:f>
        <x:v>13062.757297092678</x:v>
      </x:c>
      <x:c r="L15" s="31" t="n">
        <x:f>E15*'WID_raw'!B15</x:f>
        <x:v>18704.31435100436</x:v>
      </x:c>
      <x:c r="M15" s="31" t="n">
        <x:f>F15*'WID_raw'!B15</x:f>
        <x:v>26394.497600585222</x:v>
      </x:c>
      <x:c r="N15" s="31" t="n">
        <x:f>G15*'WID_raw'!B15</x:f>
        <x:v>44259.02499843242</x:v>
      </x:c>
      <x:c r="O15" s="31" t="n">
        <x:f>H15*'WID_raw'!B15</x:f>
        <x:v>188743.97565781474</x:v>
      </x:c>
      <x:c r="P15" s="34" t="n">
        <x:f>'WID_raw'!M15</x:f>
        <x:v>0.0304</x:v>
      </x:c>
      <x:c r="Q15" s="34" t="n">
        <x:f>'WID_raw'!N15-'WID_raw'!M15</x:f>
        <x:v>0.10280000000000002</x:v>
      </x:c>
      <x:c r="R15" s="34" t="n">
        <x:f>'WID_raw'!O15-'WID_raw'!N15</x:f>
        <x:v>0.15229999999999996</x:v>
      </x:c>
      <x:c r="S15" s="34" t="n">
        <x:f>'WID_raw'!P15-'WID_raw'!O15</x:f>
        <x:v>0.21820000000000006</x:v>
      </x:c>
      <x:c r="T15" s="34" t="n">
        <x:f>'WID_raw'!R15-'WID_raw'!P15</x:f>
        <x:v>0.15390000000000004</x:v>
      </x:c>
      <x:c r="U15" s="34" t="n">
        <x:f>'WID_raw'!S15-'WID_raw'!R15</x:f>
        <x:v>0.23229999999999995</x:v>
      </x:c>
      <x:c r="V15" s="34" t="n">
        <x:f>'WID_raw'!T15</x:f>
        <x:v>0.1101</x:v>
      </x:c>
      <x:c r="W15" s="40" t="str">
        <x:f>'WID_raw'!AB15</x:f>
        <x:v>https://wid.world/bulk_download/WID_data_ES.csv</x:v>
      </x:c>
    </x:row>
    <x:row r="16">
      <x:c r="A16" s="25" t="n">
        <x:f>'WID_raw'!A16</x:f>
        <x:v>2001</x:v>
      </x:c>
      <x:c r="B16" s="31" t="n">
        <x:f>'WID_raw'!D16</x:f>
        <x:v>4607.400000000001</x:v>
      </x:c>
      <x:c r="C16" s="31" t="n">
        <x:f>('WID_raw'!E16*'Parametros'!$B$6-'WID_raw'!D16*'Parametros'!$B$5)/('Parametros'!$B$6-'Parametros'!$B$5)</x:f>
        <x:v>15726.6</x:v>
      </x:c>
      <x:c r="D16" s="31" t="n">
        <x:f>('WID_raw'!F16*'Parametros'!$B$7-'WID_raw'!E16*'Parametros'!$B$6)/('Parametros'!$B$7-'Parametros'!$B$6)</x:f>
        <x:v>23297.700000000004</x:v>
      </x:c>
      <x:c r="E16" s="31" t="n">
        <x:f>('WID_raw'!G16*'Parametros'!$B$8-'WID_raw'!F16*'Parametros'!$B$7)/('Parametros'!$B$8-'Parametros'!$B$7)</x:f>
        <x:v>33597.899999999994</x:v>
      </x:c>
      <x:c r="F16" s="31" t="n">
        <x:f>'WID_raw'!J16</x:f>
        <x:v>47057.5</x:v>
      </x:c>
      <x:c r="G16" s="31" t="n">
        <x:f>('WID_raw'!K16*'Parametros'!$B$10-'WID_raw'!I16*'Parametros'!$B$9)/('Parametros'!$B$10-'Parametros'!$B$9)</x:f>
        <x:v>78023.20000000003</x:v>
      </x:c>
      <x:c r="H16" s="31" t="n">
        <x:f>'WID_raw'!L16</x:f>
        <x:v>321637.4</x:v>
      </x:c>
      <x:c r="I16" s="31" t="n">
        <x:f>B16*'WID_raw'!B16</x:f>
        <x:v>2764.8234827756887</x:v>
      </x:c>
      <x:c r="J16" s="31" t="n">
        <x:f>C16*'WID_raw'!B16</x:f>
        <x:v>9437.268955206871</x:v>
      </x:c>
      <x:c r="K16" s="31" t="n">
        <x:f>D16*'WID_raw'!B16</x:f>
        <x:v>13980.559112441542</x:v>
      </x:c>
      <x:c r="L16" s="31" t="n">
        <x:f>E16*'WID_raw'!B16</x:f>
        <x:v>20161.536417925356</x:v>
      </x:c>
      <x:c r="M16" s="31" t="n">
        <x:f>F16*'WID_raw'!B16</x:f>
        <x:v>28238.416686356068</x:v>
      </x:c>
      <x:c r="N16" s="31" t="n">
        <x:f>G16*'WID_raw'!B16</x:f>
        <x:v>46820.41402120592</x:v>
      </x:c>
      <x:c r="O16" s="31" t="n">
        <x:f>H16*'WID_raw'!B16</x:f>
        <x:v>193009.2105002642</x:v>
      </x:c>
      <x:c r="P16" s="34" t="n">
        <x:f>'WID_raw'!M16</x:f>
        <x:v>0.0303</x:v>
      </x:c>
      <x:c r="Q16" s="34" t="n">
        <x:f>'WID_raw'!N16-'WID_raw'!M16</x:f>
        <x:v>0.10350000000000001</x:v>
      </x:c>
      <x:c r="R16" s="34" t="n">
        <x:f>'WID_raw'!O16-'WID_raw'!N16</x:f>
        <x:v>0.15330000000000002</x:v>
      </x:c>
      <x:c r="S16" s="34" t="n">
        <x:f>'WID_raw'!P16-'WID_raw'!O16</x:f>
        <x:v>0.22119999999999995</x:v>
      </x:c>
      <x:c r="T16" s="34" t="n">
        <x:f>'WID_raw'!R16-'WID_raw'!P16</x:f>
        <x:v>0.15480000000000005</x:v>
      </x:c>
      <x:c r="U16" s="34" t="n">
        <x:f>'WID_raw'!S16-'WID_raw'!R16</x:f>
        <x:v>0.23109999999999997</x:v>
      </x:c>
      <x:c r="V16" s="34" t="n">
        <x:f>'WID_raw'!T16</x:f>
        <x:v>0.1058</x:v>
      </x:c>
      <x:c r="W16" s="40" t="str">
        <x:f>'WID_raw'!AB16</x:f>
        <x:v>https://wid.world/bulk_download/WID_data_ES.csv</x:v>
      </x:c>
    </x:row>
    <x:row r="17">
      <x:c r="A17" s="25" t="n">
        <x:f>'WID_raw'!A17</x:f>
        <x:v>2002</x:v>
      </x:c>
      <x:c r="B17" s="31" t="n">
        <x:f>'WID_raw'!D17</x:f>
        <x:v>4734.900000000001</x:v>
      </x:c>
      <x:c r="C17" s="31" t="n">
        <x:f>('WID_raw'!E17*'Parametros'!$B$6-'WID_raw'!D17*'Parametros'!$B$5)/('Parametros'!$B$6-'Parametros'!$B$5)</x:f>
        <x:v>15987.900000000001</x:v>
      </x:c>
      <x:c r="D17" s="31" t="n">
        <x:f>('WID_raw'!F17*'Parametros'!$B$7-'WID_raw'!E17*'Parametros'!$B$6)/('Parametros'!$B$7-'Parametros'!$B$6)</x:f>
        <x:v>23515.8</x:v>
      </x:c>
      <x:c r="E17" s="31" t="n">
        <x:f>('WID_raw'!G17*'Parametros'!$B$8-'WID_raw'!F17*'Parametros'!$B$7)/('Parametros'!$B$8-'Parametros'!$B$7)</x:f>
        <x:v>33747.79999999999</x:v>
      </x:c>
      <x:c r="F17" s="31" t="n">
        <x:f>'WID_raw'!J17</x:f>
        <x:v>46965.9</x:v>
      </x:c>
      <x:c r="G17" s="31" t="n">
        <x:f>('WID_raw'!K17*'Parametros'!$B$10-'WID_raw'!I17*'Parametros'!$B$9)/('Parametros'!$B$10-'Parametros'!$B$9)</x:f>
        <x:v>78737.8</x:v>
      </x:c>
      <x:c r="H17" s="31" t="n">
        <x:f>'WID_raw'!L17</x:f>
        <x:v>334717.1</x:v>
      </x:c>
      <x:c r="I17" s="31" t="n">
        <x:f>B17*'WID_raw'!B17</x:f>
        <x:v>2957.5929211556913</x:v>
      </x:c>
      <x:c r="J17" s="31" t="n">
        <x:f>C17*'WID_raw'!B17</x:f>
        <x:v>9986.631156760455</x:v>
      </x:c>
      <x:c r="K17" s="31" t="n">
        <x:f>D17*'WID_raw'!B17</x:f>
        <x:v>14688.834741032124</x:v>
      </x:c>
      <x:c r="L17" s="31" t="n">
        <x:f>E17*'WID_raw'!B17</x:f>
        <x:v>21080.118774330607</x:v>
      </x:c>
      <x:c r="M17" s="31" t="n">
        <x:f>F17*'WID_raw'!B17</x:f>
        <x:v>29336.630842405557</x:v>
      </x:c>
      <x:c r="N17" s="31" t="n">
        <x:f>G17*'WID_raw'!B17</x:f>
        <x:v>49182.52970651388</x:v>
      </x:c>
      <x:c r="O17" s="31" t="n">
        <x:f>H17*'WID_raw'!B17</x:f>
        <x:v>209076.62792239783</x:v>
      </x:c>
      <x:c r="P17" s="34" t="n">
        <x:f>'WID_raw'!M17</x:f>
        <x:v>0.0308</x:v>
      </x:c>
      <x:c r="Q17" s="34" t="n">
        <x:f>'WID_raw'!N17-'WID_raw'!M17</x:f>
        <x:v>0.1041</x:v>
      </x:c>
      <x:c r="R17" s="34" t="n">
        <x:f>'WID_raw'!O17-'WID_raw'!N17</x:f>
        <x:v>0.153</x:v>
      </x:c>
      <x:c r="S17" s="34" t="n">
        <x:f>'WID_raw'!P17-'WID_raw'!O17</x:f>
        <x:v>0.21970000000000006</x:v>
      </x:c>
      <x:c r="T17" s="34" t="n">
        <x:f>'WID_raw'!R17-'WID_raw'!P17</x:f>
        <x:v>0.15279999999999994</x:v>
      </x:c>
      <x:c r="U17" s="34" t="n">
        <x:f>'WID_raw'!S17-'WID_raw'!R17</x:f>
        <x:v>0.23070000000000002</x:v>
      </x:c>
      <x:c r="V17" s="34" t="n">
        <x:f>'WID_raw'!T17</x:f>
        <x:v>0.1089</x:v>
      </x:c>
      <x:c r="W17" s="40" t="str">
        <x:f>'WID_raw'!AB17</x:f>
        <x:v>https://wid.world/bulk_download/WID_data_ES.csv</x:v>
      </x:c>
    </x:row>
    <x:row r="18">
      <x:c r="A18" s="25" t="n">
        <x:f>'WID_raw'!A18</x:f>
        <x:v>2003</x:v>
      </x:c>
      <x:c r="B18" s="31" t="n">
        <x:f>'WID_raw'!D18</x:f>
        <x:v>4802.3</x:v>
      </x:c>
      <x:c r="C18" s="31" t="n">
        <x:f>('WID_raw'!E18*'Parametros'!$B$6-'WID_raw'!D18*'Parametros'!$B$5)/('Parametros'!$B$6-'Parametros'!$B$5)</x:f>
        <x:v>16001.5</x:v>
      </x:c>
      <x:c r="D18" s="31" t="n">
        <x:f>('WID_raw'!F18*'Parametros'!$B$7-'WID_raw'!E18*'Parametros'!$B$6)/('Parametros'!$B$7-'Parametros'!$B$6)</x:f>
        <x:v>23676.9</x:v>
      </x:c>
      <x:c r="E18" s="31" t="n">
        <x:f>('WID_raw'!G18*'Parametros'!$B$8-'WID_raw'!F18*'Parametros'!$B$7)/('Parametros'!$B$8-'Parametros'!$B$7)</x:f>
        <x:v>33968.49999999999</x:v>
      </x:c>
      <x:c r="F18" s="31" t="n">
        <x:f>'WID_raw'!J18</x:f>
        <x:v>47497.9</x:v>
      </x:c>
      <x:c r="G18" s="31" t="n">
        <x:f>('WID_raw'!K18*'Parametros'!$B$10-'WID_raw'!I18*'Parametros'!$B$9)/('Parametros'!$B$10-'Parametros'!$B$9)</x:f>
        <x:v>79706.10000000002</x:v>
      </x:c>
      <x:c r="H18" s="31" t="n">
        <x:f>'WID_raw'!L18</x:f>
        <x:v>344930.6</x:v>
      </x:c>
      <x:c r="I18" s="31" t="n">
        <x:f>B18*'WID_raw'!B18</x:f>
        <x:v>3119.800634580851</x:v>
      </x:c>
      <x:c r="J18" s="31" t="n">
        <x:f>C18*'WID_raw'!B18</x:f>
        <x:v>10395.329291015863</x:v>
      </x:c>
      <x:c r="K18" s="31" t="n">
        <x:f>D18*'WID_raw'!B18</x:f>
        <x:v>15381.631227725746</x:v>
      </x:c>
      <x:c r="L18" s="31" t="n">
        <x:f>E18*'WID_raw'!B18</x:f>
        <x:v>22067.54010698199</x:v>
      </x:c>
      <x:c r="M18" s="31" t="n">
        <x:f>F18*'WID_raw'!B18</x:f>
        <x:v>30856.87661355138</x:v>
      </x:c>
      <x:c r="N18" s="31" t="n">
        <x:f>G18*'WID_raw'!B18</x:f>
        <x:v>51780.84279615284</x:v>
      </x:c>
      <x:c r="O18" s="31" t="n">
        <x:f>H18*'WID_raw'!B18</x:f>
        <x:v>224083.19029763935</x:v>
      </x:c>
      <x:c r="P18" s="34" t="n">
        <x:f>'WID_raw'!M18</x:f>
        <x:v>0.0309</x:v>
      </x:c>
      <x:c r="Q18" s="34" t="n">
        <x:f>'WID_raw'!N18-'WID_raw'!M18</x:f>
        <x:v>0.103</x:v>
      </x:c>
      <x:c r="R18" s="34" t="n">
        <x:f>'WID_raw'!O18-'WID_raw'!N18</x:f>
        <x:v>0.1525</x:v>
      </x:c>
      <x:c r="S18" s="34" t="n">
        <x:f>'WID_raw'!P18-'WID_raw'!O18</x:f>
        <x:v>0.2187</x:v>
      </x:c>
      <x:c r="T18" s="34" t="n">
        <x:f>'WID_raw'!R18-'WID_raw'!P18</x:f>
        <x:v>0.15290000000000004</x:v>
      </x:c>
      <x:c r="U18" s="34" t="n">
        <x:f>'WID_raw'!S18-'WID_raw'!R18</x:f>
        <x:v>0.23099999999999998</x:v>
      </x:c>
      <x:c r="V18" s="34" t="n">
        <x:f>'WID_raw'!T18</x:f>
        <x:v>0.111</x:v>
      </x:c>
      <x:c r="W18" s="40" t="str">
        <x:f>'WID_raw'!AB18</x:f>
        <x:v>https://wid.world/bulk_download/WID_data_ES.csv</x:v>
      </x:c>
    </x:row>
    <x:row r="19">
      <x:c r="A19" s="25" t="n">
        <x:f>'WID_raw'!A19</x:f>
        <x:v>2004</x:v>
      </x:c>
      <x:c r="B19" s="31" t="n">
        <x:f>'WID_raw'!D19</x:f>
        <x:v>4856.2</x:v>
      </x:c>
      <x:c r="C19" s="31" t="n">
        <x:f>('WID_raw'!E19*'Parametros'!$B$6-'WID_raw'!D19*'Parametros'!$B$5)/('Parametros'!$B$6-'Parametros'!$B$5)</x:f>
        <x:v>16157.000000000002</x:v>
      </x:c>
      <x:c r="D19" s="31" t="n">
        <x:f>('WID_raw'!F19*'Parametros'!$B$7-'WID_raw'!E19*'Parametros'!$B$6)/('Parametros'!$B$7-'Parametros'!$B$6)</x:f>
        <x:v>23879.400000000005</x:v>
      </x:c>
      <x:c r="E19" s="31" t="n">
        <x:f>('WID_raw'!G19*'Parametros'!$B$8-'WID_raw'!F19*'Parametros'!$B$7)/('Parametros'!$B$8-'Parametros'!$B$7)</x:f>
        <x:v>34249.399999999994</x:v>
      </x:c>
      <x:c r="F19" s="31" t="n">
        <x:f>'WID_raw'!J19</x:f>
        <x:v>47521.7</x:v>
      </x:c>
      <x:c r="G19" s="31" t="n">
        <x:f>('WID_raw'!K19*'Parametros'!$B$10-'WID_raw'!I19*'Parametros'!$B$9)/('Parametros'!$B$10-'Parametros'!$B$9)</x:f>
        <x:v>79891.30000000003</x:v>
      </x:c>
      <x:c r="H19" s="31" t="n">
        <x:f>'WID_raw'!L19</x:f>
        <x:v>342621</x:v>
      </x:c>
      <x:c r="I19" s="31" t="n">
        <x:f>B19*'WID_raw'!B19</x:f>
        <x:v>3278.2227732539177</x:v>
      </x:c>
      <x:c r="J19" s="31" t="n">
        <x:f>C19*'WID_raw'!B19</x:f>
        <x:v>10906.932446658613</x:v>
      </x:c>
      <x:c r="K19" s="31" t="n">
        <x:f>D19*'WID_raw'!B19</x:f>
        <x:v>16120.010067880157</x:v>
      </x:c>
      <x:c r="L19" s="31" t="n">
        <x:f>E19*'WID_raw'!B19</x:f>
        <x:v>23120.374583065506</x:v>
      </x:c>
      <x:c r="M19" s="31" t="n">
        <x:f>F19*'WID_raw'!B19</x:f>
        <x:v>32079.963585466143</x:v>
      </x:c>
      <x:c r="N19" s="31" t="n">
        <x:f>G19*'WID_raw'!B19</x:f>
        <x:v>53931.361773580335</x:v>
      </x:c>
      <x:c r="O19" s="31" t="n">
        <x:f>H19*'WID_raw'!B19</x:f>
        <x:v>231289.4783565402</x:v>
      </x:c>
      <x:c r="P19" s="34" t="n">
        <x:f>'WID_raw'!M19</x:f>
        <x:v>0.0311</x:v>
      </x:c>
      <x:c r="Q19" s="34" t="n">
        <x:f>'WID_raw'!N19-'WID_raw'!M19</x:f>
        <x:v>0.10359999999999998</x:v>
      </x:c>
      <x:c r="R19" s="34" t="n">
        <x:f>'WID_raw'!O19-'WID_raw'!N19</x:f>
        <x:v>0.1531</x:v>
      </x:c>
      <x:c r="S19" s="34" t="n">
        <x:f>'WID_raw'!P19-'WID_raw'!O19</x:f>
        <x:v>0.21960000000000007</x:v>
      </x:c>
      <x:c r="T19" s="34" t="n">
        <x:f>'WID_raw'!R19-'WID_raw'!P19</x:f>
        <x:v>0.1523</x:v>
      </x:c>
      <x:c r="U19" s="34" t="n">
        <x:f>'WID_raw'!S19-'WID_raw'!R19</x:f>
        <x:v>0.23049999999999993</x:v>
      </x:c>
      <x:c r="V19" s="34" t="n">
        <x:f>'WID_raw'!T19</x:f>
        <x:v>0.1098</x:v>
      </x:c>
      <x:c r="W19" s="40" t="str">
        <x:f>'WID_raw'!AB19</x:f>
        <x:v>https://wid.world/bulk_download/WID_data_ES.csv</x:v>
      </x:c>
    </x:row>
    <x:row r="20">
      <x:c r="A20" s="25" t="n">
        <x:f>'WID_raw'!A20</x:f>
        <x:v>2005</x:v>
      </x:c>
      <x:c r="B20" s="31" t="n">
        <x:f>'WID_raw'!D20</x:f>
        <x:v>4888.2</x:v>
      </x:c>
      <x:c r="C20" s="31" t="n">
        <x:f>('WID_raw'!E20*'Parametros'!$B$6-'WID_raw'!D20*'Parametros'!$B$5)/('Parametros'!$B$6-'Parametros'!$B$5)</x:f>
        <x:v>16582.8</x:v>
      </x:c>
      <x:c r="D20" s="31" t="n">
        <x:f>('WID_raw'!F20*'Parametros'!$B$7-'WID_raw'!E20*'Parametros'!$B$6)/('Parametros'!$B$7-'Parametros'!$B$6)</x:f>
        <x:v>24286.2</x:v>
      </x:c>
      <x:c r="E20" s="31" t="n">
        <x:f>('WID_raw'!G20*'Parametros'!$B$8-'WID_raw'!F20*'Parametros'!$B$7)/('Parametros'!$B$8-'Parametros'!$B$7)</x:f>
        <x:v>34695.19999999999</x:v>
      </x:c>
      <x:c r="F20" s="31" t="n">
        <x:f>'WID_raw'!J20</x:f>
        <x:v>48425.3</x:v>
      </x:c>
      <x:c r="G20" s="31" t="n">
        <x:f>('WID_raw'!K20*'Parametros'!$B$10-'WID_raw'!I20*'Parametros'!$B$9)/('Parametros'!$B$10-'Parametros'!$B$9)</x:f>
        <x:v>80330.2</x:v>
      </x:c>
      <x:c r="H20" s="31" t="n">
        <x:f>'WID_raw'!L20</x:f>
        <x:v>341599.6</x:v>
      </x:c>
      <x:c r="I20" s="31" t="n">
        <x:f>B20*'WID_raw'!B20</x:f>
        <x:v>3438.843614029884</x:v>
      </x:c>
      <x:c r="J20" s="31" t="n">
        <x:f>C20*'WID_raw'!B20</x:f>
        <x:v>11665.982546281813</x:v>
      </x:c>
      <x:c r="K20" s="31" t="n">
        <x:f>D20*'WID_raw'!B20</x:f>
        <x:v>17085.316431212425</x:v>
      </x:c>
      <x:c r="L20" s="31" t="n">
        <x:f>E20*'WID_raw'!B20</x:f>
        <x:v>24408.037101078025</x:v>
      </x:c>
      <x:c r="M20" s="31" t="n">
        <x:f>F20*'WID_raw'!B20</x:f>
        <x:v>34067.14816547633</x:v>
      </x:c>
      <x:c r="N20" s="31" t="n">
        <x:f>G20*'WID_raw'!B20</x:f>
        <x:v>56512.212119746204</x:v>
      </x:c>
      <x:c r="O20" s="31" t="n">
        <x:f>H20*'WID_raw'!B20</x:f>
        <x:v>240314.96317973136</x:v>
      </x:c>
      <x:c r="P20" s="34" t="n">
        <x:f>'WID_raw'!M20</x:f>
        <x:v>0.031</x:v>
      </x:c>
      <x:c r="Q20" s="34" t="n">
        <x:f>'WID_raw'!N20-'WID_raw'!M20</x:f>
        <x:v>0.10500000000000001</x:v>
      </x:c>
      <x:c r="R20" s="34" t="n">
        <x:f>'WID_raw'!O20-'WID_raw'!N20</x:f>
        <x:v>0.1538</x:v>
      </x:c>
      <x:c r="S20" s="34" t="n">
        <x:f>'WID_raw'!P20-'WID_raw'!O20</x:f>
        <x:v>0.21970000000000006</x:v>
      </x:c>
      <x:c r="T20" s="34" t="n">
        <x:f>'WID_raw'!R20-'WID_raw'!P20</x:f>
        <x:v>0.15339999999999998</x:v>
      </x:c>
      <x:c r="U20" s="34" t="n">
        <x:f>'WID_raw'!S20-'WID_raw'!R20</x:f>
        <x:v>0.2289</x:v>
      </x:c>
      <x:c r="V20" s="34" t="n">
        <x:f>'WID_raw'!T20</x:f>
        <x:v>0.1082</x:v>
      </x:c>
      <x:c r="W20" s="40" t="str">
        <x:f>'WID_raw'!AB20</x:f>
        <x:v>https://wid.world/bulk_download/WID_data_ES.csv</x:v>
      </x:c>
    </x:row>
    <x:row r="21">
      <x:c r="A21" s="25" t="n">
        <x:f>'WID_raw'!A21</x:f>
        <x:v>2006</x:v>
      </x:c>
      <x:c r="B21" s="31" t="n">
        <x:f>'WID_raw'!D21</x:f>
        <x:v>4999.700000000001</x:v>
      </x:c>
      <x:c r="C21" s="31" t="n">
        <x:f>('WID_raw'!E21*'Parametros'!$B$6-'WID_raw'!D21*'Parametros'!$B$5)/('Parametros'!$B$6-'Parametros'!$B$5)</x:f>
        <x:v>16838.5</x:v>
      </x:c>
      <x:c r="D21" s="31" t="n">
        <x:f>('WID_raw'!F21*'Parametros'!$B$7-'WID_raw'!E21*'Parametros'!$B$6)/('Parametros'!$B$7-'Parametros'!$B$6)</x:f>
        <x:v>24349.2</x:v>
      </x:c>
      <x:c r="E21" s="31" t="n">
        <x:f>('WID_raw'!G21*'Parametros'!$B$8-'WID_raw'!F21*'Parametros'!$B$7)/('Parametros'!$B$8-'Parametros'!$B$7)</x:f>
        <x:v>34482.99999999999</x:v>
      </x:c>
      <x:c r="F21" s="31" t="n">
        <x:f>'WID_raw'!J21</x:f>
        <x:v>48204.60000000001</x:v>
      </x:c>
      <x:c r="G21" s="31" t="n">
        <x:f>('WID_raw'!K21*'Parametros'!$B$10-'WID_raw'!I21*'Parametros'!$B$9)/('Parametros'!$B$10-'Parametros'!$B$9)</x:f>
        <x:v>83315.29999999999</x:v>
      </x:c>
      <x:c r="H21" s="31" t="n">
        <x:f>'WID_raw'!L21</x:f>
        <x:v>362608.4</x:v>
      </x:c>
      <x:c r="I21" s="31" t="n">
        <x:f>B21*'WID_raw'!B21</x:f>
        <x:v>3660.524783968926</x:v>
      </x:c>
      <x:c r="J21" s="31" t="n">
        <x:f>C21*'WID_raw'!B21</x:f>
        <x:v>12328.28901231289</x:v>
      </x:c>
      <x:c r="K21" s="31" t="n">
        <x:f>D21*'WID_raw'!B21</x:f>
        <x:v>17827.239648342133</x:v>
      </x:c>
      <x:c r="L21" s="31" t="n">
        <x:f>E21*'WID_raw'!B21</x:f>
        <x:v>25246.69002652168</x:v>
      </x:c>
      <x:c r="M21" s="31" t="n">
        <x:f>F21*'WID_raw'!B21</x:f>
        <x:v>35292.944176912315</x:v>
      </x:c>
      <x:c r="N21" s="31" t="n">
        <x:f>G21*'WID_raw'!B21</x:f>
        <x:v>60999.204059004776</x:v>
      </x:c>
      <x:c r="O21" s="31" t="n">
        <x:f>H21*'WID_raw'!B21</x:f>
        <x:v>265483.33601522446</x:v>
      </x:c>
      <x:c r="P21" s="34" t="n">
        <x:f>'WID_raw'!M21</x:f>
        <x:v>0.0312</x:v>
      </x:c>
      <x:c r="Q21" s="34" t="n">
        <x:f>'WID_raw'!N21-'WID_raw'!M21</x:f>
        <x:v>0.10499999999999998</x:v>
      </x:c>
      <x:c r="R21" s="34" t="n">
        <x:f>'WID_raw'!O21-'WID_raw'!N21</x:f>
        <x:v>0.1518</x:v>
      </x:c>
      <x:c r="S21" s="34" t="n">
        <x:f>'WID_raw'!P21-'WID_raw'!O21</x:f>
        <x:v>0.21490000000000004</x:v>
      </x:c>
      <x:c r="T21" s="34" t="n">
        <x:f>'WID_raw'!R21-'WID_raw'!P21</x:f>
        <x:v>0.1503</x:v>
      </x:c>
      <x:c r="U21" s="34" t="n">
        <x:f>'WID_raw'!S21-'WID_raw'!R21</x:f>
        <x:v>0.2338</x:v>
      </x:c>
      <x:c r="V21" s="34" t="n">
        <x:f>'WID_raw'!T21</x:f>
        <x:v>0.113</x:v>
      </x:c>
      <x:c r="W21" s="40" t="str">
        <x:f>'WID_raw'!AB21</x:f>
        <x:v>https://wid.world/bulk_download/WID_data_ES.csv</x:v>
      </x:c>
    </x:row>
    <x:row r="22">
      <x:c r="A22" s="25" t="n">
        <x:f>'WID_raw'!A22</x:f>
        <x:v>2007</x:v>
      </x:c>
      <x:c r="B22" s="31" t="n">
        <x:f>'WID_raw'!D22</x:f>
        <x:v>5081</x:v>
      </x:c>
      <x:c r="C22" s="31" t="n">
        <x:f>('WID_raw'!E22*'Parametros'!$B$6-'WID_raw'!D22*'Parametros'!$B$5)/('Parametros'!$B$6-'Parametros'!$B$5)</x:f>
        <x:v>16843</x:v>
      </x:c>
      <x:c r="D22" s="31" t="n">
        <x:f>('WID_raw'!F22*'Parametros'!$B$7-'WID_raw'!E22*'Parametros'!$B$6)/('Parametros'!$B$7-'Parametros'!$B$6)</x:f>
        <x:v>24446.100000000006</x:v>
      </x:c>
      <x:c r="E22" s="31" t="n">
        <x:f>('WID_raw'!G22*'Parametros'!$B$8-'WID_raw'!F22*'Parametros'!$B$7)/('Parametros'!$B$8-'Parametros'!$B$7)</x:f>
        <x:v>34978.29999999999</x:v>
      </x:c>
      <x:c r="F22" s="31" t="n">
        <x:f>'WID_raw'!J22</x:f>
        <x:v>48824.2</x:v>
      </x:c>
      <x:c r="G22" s="31" t="n">
        <x:f>('WID_raw'!K22*'Parametros'!$B$10-'WID_raw'!I22*'Parametros'!$B$9)/('Parametros'!$B$10-'Parametros'!$B$9)</x:f>
        <x:v>83509.50000000003</x:v>
      </x:c>
      <x:c r="H22" s="31" t="n">
        <x:f>'WID_raw'!L22</x:f>
        <x:v>366198.4</x:v>
      </x:c>
      <x:c r="I22" s="31" t="n">
        <x:f>B22*'WID_raw'!B22</x:f>
        <x:v>3852.5274145007133</x:v>
      </x:c>
      <x:c r="J22" s="31" t="n">
        <x:f>C22*'WID_raw'!B22</x:f>
        <x:v>12770.73789459467</x:v>
      </x:c>
      <x:c r="K22" s="31" t="n">
        <x:f>D22*'WID_raw'!B22</x:f>
        <x:v>18535.57772635818</x:v>
      </x:c>
      <x:c r="L22" s="31" t="n">
        <x:f>E22*'WID_raw'!B22</x:f>
        <x:v>26521.326444131126</x:v>
      </x:c>
      <x:c r="M22" s="31" t="n">
        <x:f>F22*'WID_raw'!B22</x:f>
        <x:v>37019.596337544914</x:v>
      </x:c>
      <x:c r="N22" s="31" t="n">
        <x:f>G22*'WID_raw'!B22</x:f>
        <x:v>63318.76365306976</x:v>
      </x:c>
      <x:c r="O22" s="31" t="n">
        <x:f>H22*'WID_raw'!B22</x:f>
        <x:v>277659.7864881516</x:v>
      </x:c>
      <x:c r="P22" s="34" t="n">
        <x:f>'WID_raw'!M22</x:f>
        <x:v>0.0314</x:v>
      </x:c>
      <x:c r="Q22" s="34" t="n">
        <x:f>'WID_raw'!N22-'WID_raw'!M22</x:f>
        <x:v>0.1042</x:v>
      </x:c>
      <x:c r="R22" s="34" t="n">
        <x:f>'WID_raw'!O22-'WID_raw'!N22</x:f>
        <x:v>0.1513</x:v>
      </x:c>
      <x:c r="S22" s="34" t="n">
        <x:f>'WID_raw'!P22-'WID_raw'!O22</x:f>
        <x:v>0.2163</x:v>
      </x:c>
      <x:c r="T22" s="34" t="n">
        <x:f>'WID_raw'!R22-'WID_raw'!P22</x:f>
        <x:v>0.1511</x:v>
      </x:c>
      <x:c r="U22" s="34" t="n">
        <x:f>'WID_raw'!S22-'WID_raw'!R22</x:f>
        <x:v>0.23240000000000005</x:v>
      </x:c>
      <x:c r="V22" s="34" t="n">
        <x:f>'WID_raw'!T22</x:f>
        <x:v>0.1133</x:v>
      </x:c>
      <x:c r="W22" s="40" t="str">
        <x:f>'WID_raw'!AB22</x:f>
        <x:v>https://wid.world/bulk_download/WID_data_ES.csv</x:v>
      </x:c>
    </x:row>
    <x:row r="23">
      <x:c r="A23" s="25" t="n">
        <x:f>'WID_raw'!A23</x:f>
        <x:v>2008</x:v>
      </x:c>
      <x:c r="B23" s="31" t="n">
        <x:f>'WID_raw'!D23</x:f>
        <x:v>4905.5</x:v>
      </x:c>
      <x:c r="C23" s="31" t="n">
        <x:f>('WID_raw'!E23*'Parametros'!$B$6-'WID_raw'!D23*'Parametros'!$B$5)/('Parametros'!$B$6-'Parametros'!$B$5)</x:f>
        <x:v>16388.5</x:v>
      </x:c>
      <x:c r="D23" s="31" t="n">
        <x:f>('WID_raw'!F23*'Parametros'!$B$7-'WID_raw'!E23*'Parametros'!$B$6)/('Parametros'!$B$7-'Parametros'!$B$6)</x:f>
        <x:v>23894.10000000001</x:v>
      </x:c>
      <x:c r="E23" s="31" t="n">
        <x:f>('WID_raw'!G23*'Parametros'!$B$8-'WID_raw'!F23*'Parametros'!$B$7)/('Parametros'!$B$8-'Parametros'!$B$7)</x:f>
        <x:v>34215.49999999999</x:v>
      </x:c>
      <x:c r="F23" s="31" t="n">
        <x:f>'WID_raw'!J23</x:f>
        <x:v>47709.5</x:v>
      </x:c>
      <x:c r="G23" s="31" t="n">
        <x:f>('WID_raw'!K23*'Parametros'!$B$10-'WID_raw'!I23*'Parametros'!$B$9)/('Parametros'!$B$10-'Parametros'!$B$9)</x:f>
        <x:v>81521.30000000005</x:v>
      </x:c>
      <x:c r="H23" s="31" t="n">
        <x:f>'WID_raw'!L23</x:f>
        <x:v>368378.8</x:v>
      </x:c>
      <x:c r="I23" s="31" t="n">
        <x:f>B23*'WID_raw'!B23</x:f>
        <x:v>3810.6624600589275</x:v>
      </x:c>
      <x:c r="J23" s="31" t="n">
        <x:f>C23*'WID_raw'!B23</x:f>
        <x:v>12730.820859581232</x:v>
      </x:c>
      <x:c r="K23" s="31" t="n">
        <x:f>D23*'WID_raw'!B23</x:f>
        <x:v>18561.278134113556</x:v>
      </x:c>
      <x:c r="L23" s="31" t="n">
        <x:f>E23*'WID_raw'!B23</x:f>
        <x:v>26579.08906373381</x:v>
      </x:c>
      <x:c r="M23" s="31" t="n">
        <x:f>F23*'WID_raw'!B23</x:f>
        <x:v>37061.420984238386</x:v>
      </x:c>
      <x:c r="N23" s="31" t="n">
        <x:f>G23*'WID_raw'!B23</x:f>
        <x:v>63326.91012235288</x:v>
      </x:c>
      <x:c r="O23" s="31" t="n">
        <x:f>H23*'WID_raw'!B23</x:f>
        <x:v>286161.9130040884</x:v>
      </x:c>
      <x:c r="P23" s="34" t="n">
        <x:f>'WID_raw'!M23</x:f>
        <x:v>0.031</x:v>
      </x:c>
      <x:c r="Q23" s="34" t="n">
        <x:f>'WID_raw'!N23-'WID_raw'!M23</x:f>
        <x:v>0.10350000000000001</x:v>
      </x:c>
      <x:c r="R23" s="34" t="n">
        <x:f>'WID_raw'!O23-'WID_raw'!N23</x:f>
        <x:v>0.1508</x:v>
      </x:c>
      <x:c r="S23" s="34" t="n">
        <x:f>'WID_raw'!P23-'WID_raw'!O23</x:f>
        <x:v>0.21610000000000007</x:v>
      </x:c>
      <x:c r="T23" s="34" t="n">
        <x:f>'WID_raw'!R23-'WID_raw'!P23</x:f>
        <x:v>0.15059999999999996</x:v>
      </x:c>
      <x:c r="U23" s="34" t="n">
        <x:f>'WID_raw'!S23-'WID_raw'!R23</x:f>
        <x:v>0.23170000000000002</x:v>
      </x:c>
      <x:c r="V23" s="34" t="n">
        <x:f>'WID_raw'!T23</x:f>
        <x:v>0.1163</x:v>
      </x:c>
      <x:c r="W23" s="40" t="str">
        <x:f>'WID_raw'!AB23</x:f>
        <x:v>https://wid.world/bulk_download/WID_data_ES.csv</x:v>
      </x:c>
    </x:row>
    <x:row r="24">
      <x:c r="A24" s="25" t="n">
        <x:f>'WID_raw'!A24</x:f>
        <x:v>2009</x:v>
      </x:c>
      <x:c r="B24" s="31" t="n">
        <x:f>'WID_raw'!D24</x:f>
        <x:v>4626.7</x:v>
      </x:c>
      <x:c r="C24" s="31" t="n">
        <x:f>('WID_raw'!E24*'Parametros'!$B$6-'WID_raw'!D24*'Parametros'!$B$5)/('Parametros'!$B$6-'Parametros'!$B$5)</x:f>
        <x:v>15160.099999999999</x:v>
      </x:c>
      <x:c r="D24" s="31" t="n">
        <x:f>('WID_raw'!F24*'Parametros'!$B$7-'WID_raw'!E24*'Parametros'!$B$6)/('Parametros'!$B$7-'Parametros'!$B$6)</x:f>
        <x:v>22309.8</x:v>
      </x:c>
      <x:c r="E24" s="31" t="n">
        <x:f>('WID_raw'!G24*'Parametros'!$B$8-'WID_raw'!F24*'Parametros'!$B$7)/('Parametros'!$B$8-'Parametros'!$B$7)</x:f>
        <x:v>31836.999999999996</x:v>
      </x:c>
      <x:c r="F24" s="31" t="n">
        <x:f>'WID_raw'!J24</x:f>
        <x:v>44801.5</x:v>
      </x:c>
      <x:c r="G24" s="31" t="n">
        <x:f>('WID_raw'!K24*'Parametros'!$B$10-'WID_raw'!I24*'Parametros'!$B$9)/('Parametros'!$B$10-'Parametros'!$B$9)</x:f>
        <x:v>77629.70000000001</x:v>
      </x:c>
      <x:c r="H24" s="31" t="n">
        <x:f>'WID_raw'!L24</x:f>
        <x:v>379253.6</x:v>
      </x:c>
      <x:c r="I24" s="31" t="n">
        <x:f>B24*'WID_raw'!B24</x:f>
        <x:v>3602.3978792011735</x:v>
      </x:c>
      <x:c r="J24" s="31" t="n">
        <x:f>C24*'WID_raw'!B24</x:f>
        <x:v>11803.815265411138</x:v>
      </x:c>
      <x:c r="K24" s="31" t="n">
        <x:f>D24*'WID_raw'!B24</x:f>
        <x:v>17370.647806298733</x:v>
      </x:c>
      <x:c r="L24" s="31" t="n">
        <x:f>E24*'WID_raw'!B24</x:f>
        <x:v>24788.6271597743</x:v>
      </x:c>
      <x:c r="M24" s="31" t="n">
        <x:f>F24*'WID_raw'!B24</x:f>
        <x:v>34882.92488923669</x:v>
      </x:c>
      <x:c r="N24" s="31" t="n">
        <x:f>G24*'WID_raw'!B24</x:f>
        <x:v>60443.310922044526</x:v>
      </x:c>
      <x:c r="O24" s="31" t="n">
        <x:f>H24*'WID_raw'!B24</x:f>
        <x:v>295290.890768671</x:v>
      </x:c>
      <x:c r="P24" s="34" t="n">
        <x:f>'WID_raw'!M24</x:f>
        <x:v>0.0308</x:v>
      </x:c>
      <x:c r="Q24" s="34" t="n">
        <x:f>'WID_raw'!N24-'WID_raw'!M24</x:f>
        <x:v>0.10090000000000002</x:v>
      </x:c>
      <x:c r="R24" s="34" t="n">
        <x:f>'WID_raw'!O24-'WID_raw'!N24</x:f>
        <x:v>0.1485</x:v>
      </x:c>
      <x:c r="S24" s="34" t="n">
        <x:f>'WID_raw'!P24-'WID_raw'!O24</x:f>
        <x:v>0.21189999999999998</x:v>
      </x:c>
      <x:c r="T24" s="34" t="n">
        <x:f>'WID_raw'!R24-'WID_raw'!P24</x:f>
        <x:v>0.1491</x:v>
      </x:c>
      <x:c r="U24" s="34" t="n">
        <x:f>'WID_raw'!S24-'WID_raw'!R24</x:f>
        <x:v>0.23260000000000003</x:v>
      </x:c>
      <x:c r="V24" s="34" t="n">
        <x:f>'WID_raw'!T24</x:f>
        <x:v>0.1262</x:v>
      </x:c>
      <x:c r="W24" s="40" t="str">
        <x:f>'WID_raw'!AB24</x:f>
        <x:v>https://wid.world/bulk_download/WID_data_ES.csv</x:v>
      </x:c>
    </x:row>
    <x:row r="25">
      <x:c r="A25" s="25" t="n">
        <x:f>'WID_raw'!A25</x:f>
        <x:v>2010</x:v>
      </x:c>
      <x:c r="B25" s="31" t="n">
        <x:f>'WID_raw'!D25</x:f>
        <x:v>4702.8</x:v>
      </x:c>
      <x:c r="C25" s="31" t="n">
        <x:f>('WID_raw'!E25*'Parametros'!$B$6-'WID_raw'!D25*'Parametros'!$B$5)/('Parametros'!$B$6-'Parametros'!$B$5)</x:f>
        <x:v>15867.8</x:v>
      </x:c>
      <x:c r="D25" s="31" t="n">
        <x:f>('WID_raw'!F25*'Parametros'!$B$7-'WID_raw'!E25*'Parametros'!$B$6)/('Parametros'!$B$7-'Parametros'!$B$6)</x:f>
        <x:v>23012.50000000001</x:v>
      </x:c>
      <x:c r="E25" s="31" t="n">
        <x:f>('WID_raw'!G25*'Parametros'!$B$8-'WID_raw'!F25*'Parametros'!$B$7)/('Parametros'!$B$8-'Parametros'!$B$7)</x:f>
        <x:v>32688.099999999984</x:v>
      </x:c>
      <x:c r="F25" s="31" t="n">
        <x:f>'WID_raw'!J25</x:f>
        <x:v>45410</x:v>
      </x:c>
      <x:c r="G25" s="31" t="n">
        <x:f>('WID_raw'!K25*'Parametros'!$B$10-'WID_raw'!I25*'Parametros'!$B$9)/('Parametros'!$B$10-'Parametros'!$B$9)</x:f>
        <x:v>76360.00000000004</x:v>
      </x:c>
      <x:c r="H25" s="31" t="n">
        <x:f>'WID_raw'!L25</x:f>
        <x:v>347810.1</x:v>
      </x:c>
      <x:c r="I25" s="31" t="n">
        <x:f>B25*'WID_raw'!B25</x:f>
        <x:v>3672.374200558663</x:v>
      </x:c>
      <x:c r="J25" s="31" t="n">
        <x:f>C25*'WID_raw'!B25</x:f>
        <x:v>12391.022229230402</x:v>
      </x:c>
      <x:c r="K25" s="31" t="n">
        <x:f>D25*'WID_raw'!B25</x:f>
        <x:v>17970.254165679224</x:v>
      </x:c>
      <x:c r="L25" s="31" t="n">
        <x:f>E25*'WID_raw'!B25</x:f>
        <x:v>25525.843137127147</x:v>
      </x:c>
      <x:c r="M25" s="31" t="n">
        <x:f>F25*'WID_raw'!B25</x:f>
        <x:v>35460.260365605354</x:v>
      </x:c>
      <x:c r="N25" s="31" t="n">
        <x:f>G25*'WID_raw'!B25</x:f>
        <x:v>59628.83685350422</x:v>
      </x:c>
      <x:c r="O25" s="31" t="n">
        <x:f>H25*'WID_raw'!B25</x:f>
        <x:v>271601.7772249996</x:v>
      </x:c>
      <x:c r="P25" s="34" t="n">
        <x:f>'WID_raw'!M25</x:f>
        <x:v>0.0312</x:v>
      </x:c>
      <x:c r="Q25" s="34" t="n">
        <x:f>'WID_raw'!N25-'WID_raw'!M25</x:f>
        <x:v>0.1053</x:v>
      </x:c>
      <x:c r="R25" s="34" t="n">
        <x:f>'WID_raw'!O25-'WID_raw'!N25</x:f>
        <x:v>0.1527</x:v>
      </x:c>
      <x:c r="S25" s="34" t="n">
        <x:f>'WID_raw'!P25-'WID_raw'!O25</x:f>
        <x:v>0.2168</x:v>
      </x:c>
      <x:c r="T25" s="34" t="n">
        <x:f>'WID_raw'!R25-'WID_raw'!P25</x:f>
        <x:v>0.15070000000000006</x:v>
      </x:c>
      <x:c r="U25" s="34" t="n">
        <x:f>'WID_raw'!S25-'WID_raw'!R25</x:f>
        <x:v>0.2279</x:v>
      </x:c>
      <x:c r="V25" s="34" t="n">
        <x:f>'WID_raw'!T25</x:f>
        <x:v>0.1154</x:v>
      </x:c>
      <x:c r="W25" s="40" t="str">
        <x:f>'WID_raw'!AB25</x:f>
        <x:v>https://wid.world/bulk_download/WID_data_ES.csv</x:v>
      </x:c>
    </x:row>
    <x:row r="26">
      <x:c r="A26" s="25" t="n">
        <x:f>'WID_raw'!A26</x:f>
        <x:v>2011</x:v>
      </x:c>
      <x:c r="B26" s="31" t="n">
        <x:f>'WID_raw'!D26</x:f>
        <x:v>4595.6</x:v>
      </x:c>
      <x:c r="C26" s="31" t="n">
        <x:f>('WID_raw'!E26*'Parametros'!$B$6-'WID_raw'!D26*'Parametros'!$B$5)/('Parametros'!$B$6-'Parametros'!$B$5)</x:f>
        <x:v>15786.600000000002</x:v>
      </x:c>
      <x:c r="D26" s="31" t="n">
        <x:f>('WID_raw'!F26*'Parametros'!$B$7-'WID_raw'!E26*'Parametros'!$B$6)/('Parametros'!$B$7-'Parametros'!$B$6)</x:f>
        <x:v>22961.5</x:v>
      </x:c>
      <x:c r="E26" s="31" t="n">
        <x:f>('WID_raw'!G26*'Parametros'!$B$8-'WID_raw'!F26*'Parametros'!$B$7)/('Parametros'!$B$8-'Parametros'!$B$7)</x:f>
        <x:v>32691.499999999996</x:v>
      </x:c>
      <x:c r="F26" s="31" t="n">
        <x:f>'WID_raw'!J26</x:f>
        <x:v>44938.2</x:v>
      </x:c>
      <x:c r="G26" s="31" t="n">
        <x:f>('WID_raw'!K26*'Parametros'!$B$10-'WID_raw'!I26*'Parametros'!$B$9)/('Parametros'!$B$10-'Parametros'!$B$9)</x:f>
        <x:v>75392.79999999997</x:v>
      </x:c>
      <x:c r="H26" s="31" t="n">
        <x:f>'WID_raw'!L26</x:f>
        <x:v>339265.5</x:v>
      </x:c>
      <x:c r="I26" s="31" t="n">
        <x:f>B26*'WID_raw'!B26</x:f>
        <x:v>3583.4234344959264</x:v>
      </x:c>
      <x:c r="J26" s="31" t="n">
        <x:f>C26*'WID_raw'!B26</x:f>
        <x:v>12309.61623966694</x:v>
      </x:c>
      <x:c r="K26" s="31" t="n">
        <x:f>D26*'WID_raw'!B26</x:f>
        <x:v>17904.251281917095</x:v>
      </x:c>
      <x:c r="L26" s="31" t="n">
        <x:f>E26*'WID_raw'!B26</x:f>
        <x:v>25491.227959096428</x:v>
      </x:c>
      <x:c r="M26" s="31" t="n">
        <x:f>F26*'WID_raw'!B26</x:f>
        <x:v>35040.60383498669</x:v>
      </x:c>
      <x:c r="N26" s="31" t="n">
        <x:f>G26*'WID_raw'!B26</x:f>
        <x:v>58787.60690927503</x:v>
      </x:c>
      <x:c r="O26" s="31" t="n">
        <x:f>H26*'WID_raw'!B26</x:f>
        <x:v>264542.59361475706</x:v>
      </x:c>
      <x:c r="P26" s="34" t="n">
        <x:f>'WID_raw'!M26</x:f>
        <x:v>0.0308</x:v>
      </x:c>
      <x:c r="Q26" s="34" t="n">
        <x:f>'WID_raw'!N26-'WID_raw'!M26</x:f>
        <x:v>0.1056</x:v>
      </x:c>
      <x:c r="R26" s="34" t="n">
        <x:f>'WID_raw'!O26-'WID_raw'!N26</x:f>
        <x:v>0.15370000000000003</x:v>
      </x:c>
      <x:c r="S26" s="34" t="n">
        <x:f>'WID_raw'!P26-'WID_raw'!O26</x:f>
        <x:v>0.21889999999999998</x:v>
      </x:c>
      <x:c r="T26" s="34" t="n">
        <x:f>'WID_raw'!R26-'WID_raw'!P26</x:f>
        <x:v>0.15039999999999998</x:v>
      </x:c>
      <x:c r="U26" s="34" t="n">
        <x:f>'WID_raw'!S26-'WID_raw'!R26</x:f>
        <x:v>0.22710000000000008</x:v>
      </x:c>
      <x:c r="V26" s="34" t="n">
        <x:f>'WID_raw'!T26</x:f>
        <x:v>0.1135</x:v>
      </x:c>
      <x:c r="W26" s="40" t="str">
        <x:f>'WID_raw'!AB26</x:f>
        <x:v>https://wid.world/bulk_download/WID_data_ES.csv</x:v>
      </x:c>
    </x:row>
    <x:row r="27">
      <x:c r="A27" s="25" t="n">
        <x:f>'WID_raw'!A27</x:f>
        <x:v>2012</x:v>
      </x:c>
      <x:c r="B27" s="31" t="n">
        <x:f>'WID_raw'!D27</x:f>
        <x:v>4518.400000000001</x:v>
      </x:c>
      <x:c r="C27" s="31" t="n">
        <x:f>('WID_raw'!E27*'Parametros'!$B$6-'WID_raw'!D27*'Parametros'!$B$5)/('Parametros'!$B$6-'Parametros'!$B$5)</x:f>
        <x:v>15580.199999999997</x:v>
      </x:c>
      <x:c r="D27" s="31" t="n">
        <x:f>('WID_raw'!F27*'Parametros'!$B$7-'WID_raw'!E27*'Parametros'!$B$6)/('Parametros'!$B$7-'Parametros'!$B$6)</x:f>
        <x:v>22507.4</x:v>
      </x:c>
      <x:c r="E27" s="31" t="n">
        <x:f>('WID_raw'!G27*'Parametros'!$B$8-'WID_raw'!F27*'Parametros'!$B$7)/('Parametros'!$B$8-'Parametros'!$B$7)</x:f>
        <x:v>31443.999999999996</x:v>
      </x:c>
      <x:c r="F27" s="31" t="n">
        <x:f>'WID_raw'!J27</x:f>
        <x:v>42132.9</x:v>
      </x:c>
      <x:c r="G27" s="31" t="n">
        <x:f>('WID_raw'!K27*'Parametros'!$B$10-'WID_raw'!I27*'Parametros'!$B$9)/('Parametros'!$B$10-'Parametros'!$B$9)</x:f>
        <x:v>72773.20000000003</x:v>
      </x:c>
      <x:c r="H27" s="31" t="n">
        <x:f>'WID_raw'!L27</x:f>
        <x:v>353168.7</x:v>
      </x:c>
      <x:c r="I27" s="31" t="n">
        <x:f>B27*'WID_raw'!B27</x:f>
        <x:v>3516.0770866394046</x:v>
      </x:c>
      <x:c r="J27" s="31" t="n">
        <x:f>C27*'WID_raw'!B27</x:f>
        <x:v>12124.02271274328</x:v>
      </x:c>
      <x:c r="K27" s="31" t="n">
        <x:f>D27*'WID_raw'!B27</x:f>
        <x:v>17514.552368056775</x:v>
      </x:c>
      <x:c r="L27" s="31" t="n">
        <x:f>E27*'WID_raw'!B27</x:f>
        <x:v>24468.73404574394</x:v>
      </x:c>
      <x:c r="M27" s="31" t="n">
        <x:f>F27*'WID_raw'!B27</x:f>
        <x:v>32786.50059394241</x:v>
      </x:c>
      <x:c r="N27" s="31" t="n">
        <x:f>G27*'WID_raw'!B27</x:f>
        <x:v>56629.82052085402</x:v>
      </x:c>
      <x:c r="O27" s="31" t="n">
        <x:f>H27*'WID_raw'!B27</x:f>
        <x:v>274824.79943967465</x:v>
      </x:c>
      <x:c r="P27" s="34" t="n">
        <x:f>'WID_raw'!M27</x:f>
        <x:v>0.031</x:v>
      </x:c>
      <x:c r="Q27" s="34" t="n">
        <x:f>'WID_raw'!N27-'WID_raw'!M27</x:f>
        <x:v>0.1071</x:v>
      </x:c>
      <x:c r="R27" s="34" t="n">
        <x:f>'WID_raw'!O27-'WID_raw'!N27</x:f>
        <x:v>0.1547</x:v>
      </x:c>
      <x:c r="S27" s="34" t="n">
        <x:f>'WID_raw'!P27-'WID_raw'!O27</x:f>
        <x:v>0.21610000000000001</x:v>
      </x:c>
      <x:c r="T27" s="34" t="n">
        <x:f>'WID_raw'!R27-'WID_raw'!P27</x:f>
        <x:v>0.14470000000000005</x:v>
      </x:c>
      <x:c r="U27" s="34" t="n">
        <x:f>'WID_raw'!S27-'WID_raw'!R27</x:f>
        <x:v>0.22509999999999997</x:v>
      </x:c>
      <x:c r="V27" s="34" t="n">
        <x:f>'WID_raw'!T27</x:f>
        <x:v>0.1213</x:v>
      </x:c>
      <x:c r="W27" s="40" t="str">
        <x:f>'WID_raw'!AB27</x:f>
        <x:v>https://wid.world/bulk_download/WID_data_ES.csv</x:v>
      </x:c>
    </x:row>
    <x:row r="28">
      <x:c r="A28" s="25" t="n">
        <x:f>'WID_raw'!A28</x:f>
        <x:v>2013</x:v>
      </x:c>
      <x:c r="B28" s="31" t="n">
        <x:f>'WID_raw'!D28</x:f>
        <x:v>4368.400000000001</x:v>
      </x:c>
      <x:c r="C28" s="31" t="n">
        <x:f>('WID_raw'!E28*'Parametros'!$B$6-'WID_raw'!D28*'Parametros'!$B$5)/('Parametros'!$B$6-'Parametros'!$B$5)</x:f>
        <x:v>15278.800000000001</x:v>
      </x:c>
      <x:c r="D28" s="31" t="n">
        <x:f>('WID_raw'!F28*'Parametros'!$B$7-'WID_raw'!E28*'Parametros'!$B$6)/('Parametros'!$B$7-'Parametros'!$B$6)</x:f>
        <x:v>22283.5</x:v>
      </x:c>
      <x:c r="E28" s="31" t="n">
        <x:f>('WID_raw'!G28*'Parametros'!$B$8-'WID_raw'!F28*'Parametros'!$B$7)/('Parametros'!$B$8-'Parametros'!$B$7)</x:f>
        <x:v>31335.699999999986</x:v>
      </x:c>
      <x:c r="F28" s="31" t="n">
        <x:f>'WID_raw'!J28</x:f>
        <x:v>42363.2</x:v>
      </x:c>
      <x:c r="G28" s="31" t="n">
        <x:f>('WID_raw'!K28*'Parametros'!$B$10-'WID_raw'!I28*'Parametros'!$B$9)/('Parametros'!$B$10-'Parametros'!$B$9)</x:f>
        <x:v>72774.3</x:v>
      </x:c>
      <x:c r="H28" s="31" t="n">
        <x:f>'WID_raw'!L28</x:f>
        <x:v>348264.4</x:v>
      </x:c>
      <x:c r="I28" s="31" t="n">
        <x:f>B28*'WID_raw'!B28</x:f>
        <x:v>3414.2466561317447</x:v>
      </x:c>
      <x:c r="J28" s="31" t="n">
        <x:f>C28*'WID_raw'!B28</x:f>
        <x:v>11941.578566455843</x:v>
      </x:c>
      <x:c r="K28" s="31" t="n">
        <x:f>D28*'WID_raw'!B28</x:f>
        <x:v>17416.300101161003</x:v>
      </x:c>
      <x:c r="L28" s="31" t="n">
        <x:f>E28*'WID_raw'!B28</x:f>
        <x:v>24491.30320999621</x:v>
      </x:c>
      <x:c r="M28" s="31" t="n">
        <x:f>F28*'WID_raw'!B28</x:f>
        <x:v>33110.15793952942</x:v>
      </x:c>
      <x:c r="N28" s="31" t="n">
        <x:f>G28*'WID_raw'!B28</x:f>
        <x:v>56878.81385114193</x:v>
      </x:c>
      <x:c r="O28" s="31" t="n">
        <x:f>H28*'WID_raw'!B28</x:f>
        <x:v>272195.89853258134</x:v>
      </x:c>
      <x:c r="P28" s="34" t="n">
        <x:f>'WID_raw'!M28</x:f>
        <x:v>0.0302</x:v>
      </x:c>
      <x:c r="Q28" s="34" t="n">
        <x:f>'WID_raw'!N28-'WID_raw'!M28</x:f>
        <x:v>0.10569999999999999</x:v>
      </x:c>
      <x:c r="R28" s="34" t="n">
        <x:f>'WID_raw'!O28-'WID_raw'!N28</x:f>
        <x:v>0.1541</x:v>
      </x:c>
      <x:c r="S28" s="34" t="n">
        <x:f>'WID_raw'!P28-'WID_raw'!O28</x:f>
        <x:v>0.21660000000000007</x:v>
      </x:c>
      <x:c r="T28" s="34" t="n">
        <x:f>'WID_raw'!R28-'WID_raw'!P28</x:f>
        <x:v>0.14649999999999996</x:v>
      </x:c>
      <x:c r="U28" s="34" t="n">
        <x:f>'WID_raw'!S28-'WID_raw'!R28</x:f>
        <x:v>0.22650000000000003</x:v>
      </x:c>
      <x:c r="V28" s="34" t="n">
        <x:f>'WID_raw'!T28</x:f>
        <x:v>0.1204</x:v>
      </x:c>
      <x:c r="W28" s="40" t="str">
        <x:f>'WID_raw'!AB28</x:f>
        <x:v>https://wid.world/bulk_download/WID_data_ES.csv</x:v>
      </x:c>
    </x:row>
    <x:row r="29">
      <x:c r="A29" s="25" t="n">
        <x:f>'WID_raw'!A29</x:f>
        <x:v>2014</x:v>
      </x:c>
      <x:c r="B29" s="31" t="n">
        <x:f>'WID_raw'!D29</x:f>
        <x:v>4423.2</x:v>
      </x:c>
      <x:c r="C29" s="31" t="n">
        <x:f>('WID_raw'!E29*'Parametros'!$B$6-'WID_raw'!D29*'Parametros'!$B$5)/('Parametros'!$B$6-'Parametros'!$B$5)</x:f>
        <x:v>15528.000000000002</x:v>
      </x:c>
      <x:c r="D29" s="31" t="n">
        <x:f>('WID_raw'!F29*'Parametros'!$B$7-'WID_raw'!E29*'Parametros'!$B$6)/('Parametros'!$B$7-'Parametros'!$B$6)</x:f>
        <x:v>22632.3</x:v>
      </x:c>
      <x:c r="E29" s="31" t="n">
        <x:f>('WID_raw'!G29*'Parametros'!$B$8-'WID_raw'!F29*'Parametros'!$B$7)/('Parametros'!$B$8-'Parametros'!$B$7)</x:f>
        <x:v>31874.499999999996</x:v>
      </x:c>
      <x:c r="F29" s="31" t="n">
        <x:f>'WID_raw'!J29</x:f>
        <x:v>43294.7</x:v>
      </x:c>
      <x:c r="G29" s="31" t="n">
        <x:f>('WID_raw'!K29*'Parametros'!$B$10-'WID_raw'!I29*'Parametros'!$B$9)/('Parametros'!$B$10-'Parametros'!$B$9)</x:f>
        <x:v>74543.9</x:v>
      </x:c>
      <x:c r="H29" s="31" t="n">
        <x:f>'WID_raw'!L29</x:f>
        <x:v>358421.1</x:v>
      </x:c>
      <x:c r="I29" s="31" t="n">
        <x:f>B29*'WID_raw'!B29</x:f>
        <x:v>3449.448365592956</x:v>
      </x:c>
      <x:c r="J29" s="31" t="n">
        <x:f>C29*'WID_raw'!B29</x:f>
        <x:v>12109.566427230837</x:v>
      </x:c>
      <x:c r="K29" s="31" t="n">
        <x:f>D29*'WID_raw'!B29</x:f>
        <x:v>17649.880232548712</x:v>
      </x:c>
      <x:c r="L29" s="31" t="n">
        <x:f>E29*'WID_raw'!B29</x:f>
        <x:v>24857.4430116415</x:v>
      </x:c>
      <x:c r="M29" s="31" t="n">
        <x:f>F29*'WID_raw'!B29</x:f>
        <x:v>33763.52689316272</x:v>
      </x:c>
      <x:c r="N29" s="31" t="n">
        <x:f>G29*'WID_raw'!B29</x:f>
        <x:v>58133.327459740634</x:v>
      </x:c>
      <x:c r="O29" s="31" t="n">
        <x:f>H29*'WID_raw'!B29</x:f>
        <x:v>279515.97883636947</x:v>
      </x:c>
      <x:c r="P29" s="34" t="n">
        <x:f>'WID_raw'!M29</x:f>
        <x:v>0.03</x:v>
      </x:c>
      <x:c r="Q29" s="34" t="n">
        <x:f>'WID_raw'!N29-'WID_raw'!M29</x:f>
        <x:v>0.10519999999999999</x:v>
      </x:c>
      <x:c r="R29" s="34" t="n">
        <x:f>'WID_raw'!O29-'WID_raw'!N29</x:f>
        <x:v>0.15340000000000004</x:v>
      </x:c>
      <x:c r="S29" s="34" t="n">
        <x:f>'WID_raw'!P29-'WID_raw'!O29</x:f>
        <x:v>0.21600000000000003</x:v>
      </x:c>
      <x:c r="T29" s="34" t="n">
        <x:f>'WID_raw'!R29-'WID_raw'!P29</x:f>
        <x:v>0.14659999999999995</x:v>
      </x:c>
      <x:c r="U29" s="34" t="n">
        <x:f>'WID_raw'!S29-'WID_raw'!R29</x:f>
        <x:v>0.22740000000000005</x:v>
      </x:c>
      <x:c r="V29" s="34" t="n">
        <x:f>'WID_raw'!T29</x:f>
        <x:v>0.1214</x:v>
      </x:c>
      <x:c r="W29" s="40" t="str">
        <x:f>'WID_raw'!AB29</x:f>
        <x:v>https://wid.world/bulk_download/WID_data_ES.csv</x:v>
      </x:c>
    </x:row>
    <x:row r="30">
      <x:c r="A30" s="25" t="n">
        <x:f>'WID_raw'!A30</x:f>
        <x:v>2015</x:v>
      </x:c>
      <x:c r="B30" s="31" t="n">
        <x:f>'WID_raw'!D30</x:f>
        <x:v>4620.900000000001</x:v>
      </x:c>
      <x:c r="C30" s="31" t="n">
        <x:f>('WID_raw'!E30*'Parametros'!$B$6-'WID_raw'!D30*'Parametros'!$B$5)/('Parametros'!$B$6-'Parametros'!$B$5)</x:f>
        <x:v>16146.699999999995</x:v>
      </x:c>
      <x:c r="D30" s="31" t="n">
        <x:f>('WID_raw'!F30*'Parametros'!$B$7-'WID_raw'!E30*'Parametros'!$B$6)/('Parametros'!$B$7-'Parametros'!$B$6)</x:f>
        <x:v>23657.000000000007</x:v>
      </x:c>
      <x:c r="E30" s="31" t="n">
        <x:f>('WID_raw'!G30*'Parametros'!$B$8-'WID_raw'!F30*'Parametros'!$B$7)/('Parametros'!$B$8-'Parametros'!$B$7)</x:f>
        <x:v>33228.2</x:v>
      </x:c>
      <x:c r="F30" s="31" t="n">
        <x:f>'WID_raw'!J30</x:f>
        <x:v>45299.9</x:v>
      </x:c>
      <x:c r="G30" s="31" t="n">
        <x:f>('WID_raw'!K30*'Parametros'!$B$10-'WID_raw'!I30*'Parametros'!$B$9)/('Parametros'!$B$10-'Parametros'!$B$9)</x:f>
        <x:v>78175.00000000003</x:v>
      </x:c>
      <x:c r="H30" s="31" t="n">
        <x:f>'WID_raw'!L30</x:f>
        <x:v>392049.7</x:v>
      </x:c>
      <x:c r="I30" s="31" t="n">
        <x:f>B30*'WID_raw'!B30</x:f>
        <x:v>3623.5321881294253</x:v>
      </x:c>
      <x:c r="J30" s="31" t="n">
        <x:f>C30*'WID_raw'!B30</x:f>
        <x:v>12661.621584987637</x:v>
      </x:c>
      <x:c r="K30" s="31" t="n">
        <x:f>D30*'WID_raw'!B30</x:f>
        <x:v>18550.910206794746</x:v>
      </x:c>
      <x:c r="L30" s="31" t="n">
        <x:f>E30*'WID_raw'!B30</x:f>
        <x:v>26056.27740345001</x:v>
      </x:c>
      <x:c r="M30" s="31" t="n">
        <x:f>F30*'WID_raw'!B30</x:f>
        <x:v>35522.440600109105</x:v>
      </x:c>
      <x:c r="N30" s="31" t="n">
        <x:f>G30*'WID_raw'!B30</x:f>
        <x:v>61301.830554008506</x:v>
      </x:c>
      <x:c r="O30" s="31" t="n">
        <x:f>H30*'WID_raw'!B30</x:f>
        <x:v>307430.30736360553</x:v>
      </x:c>
      <x:c r="P30" s="34" t="n">
        <x:f>'WID_raw'!M30</x:f>
        <x:v>0.0298</x:v>
      </x:c>
      <x:c r="Q30" s="34" t="n">
        <x:f>'WID_raw'!N30-'WID_raw'!M30</x:f>
        <x:v>0.1041</x:v>
      </x:c>
      <x:c r="R30" s="34" t="n">
        <x:f>'WID_raw'!O30-'WID_raw'!N30</x:f>
        <x:v>0.15259999999999999</x:v>
      </x:c>
      <x:c r="S30" s="34" t="n">
        <x:f>'WID_raw'!P30-'WID_raw'!O30</x:f>
        <x:v>0.21420000000000006</x:v>
      </x:c>
      <x:c r="T30" s="34" t="n">
        <x:f>'WID_raw'!R30-'WID_raw'!P30</x:f>
        <x:v>0.1461</x:v>
      </x:c>
      <x:c r="U30" s="34" t="n">
        <x:f>'WID_raw'!S30-'WID_raw'!R30</x:f>
        <x:v>0.2268</x:v>
      </x:c>
      <x:c r="V30" s="34" t="n">
        <x:f>'WID_raw'!T30</x:f>
        <x:v>0.1264</x:v>
      </x:c>
      <x:c r="W30" s="40" t="str">
        <x:f>'WID_raw'!AB30</x:f>
        <x:v>https://wid.world/bulk_download/WID_data_ES.csv</x:v>
      </x:c>
    </x:row>
    <x:row r="31">
      <x:c r="A31" s="25" t="n">
        <x:f>'WID_raw'!A31</x:f>
        <x:v>2016</x:v>
      </x:c>
      <x:c r="B31" s="31" t="n">
        <x:f>'WID_raw'!D31</x:f>
        <x:v>4707</x:v>
      </x:c>
      <x:c r="C31" s="31" t="n">
        <x:f>('WID_raw'!E31*'Parametros'!$B$6-'WID_raw'!D31*'Parametros'!$B$5)/('Parametros'!$B$6-'Parametros'!$B$5)</x:f>
        <x:v>16482.2</x:v>
      </x:c>
      <x:c r="D31" s="31" t="n">
        <x:f>('WID_raw'!F31*'Parametros'!$B$7-'WID_raw'!E31*'Parametros'!$B$6)/('Parametros'!$B$7-'Parametros'!$B$6)</x:f>
        <x:v>24501.40000000001</x:v>
      </x:c>
      <x:c r="E31" s="31" t="n">
        <x:f>('WID_raw'!G31*'Parametros'!$B$8-'WID_raw'!F31*'Parametros'!$B$7)/('Parametros'!$B$8-'Parametros'!$B$7)</x:f>
        <x:v>34739.79999999998</x:v>
      </x:c>
      <x:c r="F31" s="31" t="n">
        <x:f>'WID_raw'!J31</x:f>
        <x:v>46717.3</x:v>
      </x:c>
      <x:c r="G31" s="31" t="n">
        <x:f>('WID_raw'!K31*'Parametros'!$B$10-'WID_raw'!I31*'Parametros'!$B$9)/('Parametros'!$B$10-'Parametros'!$B$9)</x:f>
        <x:v>79671.3</x:v>
      </x:c>
      <x:c r="H31" s="31" t="n">
        <x:f>'WID_raw'!L31</x:f>
        <x:v>406317.3</x:v>
      </x:c>
      <x:c r="I31" s="31" t="n">
        <x:f>B31*'WID_raw'!B31</x:f>
        <x:v>3704.7863541841507</x:v>
      </x:c>
      <x:c r="J31" s="31" t="n">
        <x:f>C31*'WID_raw'!B31</x:f>
        <x:v>12972.812756943704</x:v>
      </x:c>
      <x:c r="K31" s="31" t="n">
        <x:f>D31*'WID_raw'!B31</x:f>
        <x:v>19284.56604597569</x:v>
      </x:c>
      <x:c r="L31" s="31" t="n">
        <x:f>E31*'WID_raw'!B31</x:f>
        <x:v>27343.007645440088</x:v>
      </x:c>
      <x:c r="M31" s="31" t="n">
        <x:f>F31*'WID_raw'!B31</x:f>
        <x:v>36770.260366332535</x:v>
      </x:c>
      <x:c r="N31" s="31" t="n">
        <x:f>G31*'WID_raw'!B31</x:f>
        <x:v>62707.70024646521</x:v>
      </x:c>
      <x:c r="O31" s="31" t="n">
        <x:f>H31*'WID_raw'!B31</x:f>
        <x:v>319804.28903950454</x:v>
      </x:c>
      <x:c r="P31" s="34" t="n">
        <x:f>'WID_raw'!M31</x:f>
        <x:v>0.0294</x:v>
      </x:c>
      <x:c r="Q31" s="34" t="n">
        <x:f>'WID_raw'!N31-'WID_raw'!M31</x:f>
        <x:v>0.10310000000000001</x:v>
      </x:c>
      <x:c r="R31" s="34" t="n">
        <x:f>'WID_raw'!O31-'WID_raw'!N31</x:f>
        <x:v>0.1531</x:v>
      </x:c>
      <x:c r="S31" s="34" t="n">
        <x:f>'WID_raw'!P31-'WID_raw'!O31</x:f>
        <x:v>0.2172</x:v>
      </x:c>
      <x:c r="T31" s="34" t="n">
        <x:f>'WID_raw'!R31-'WID_raw'!P31</x:f>
        <x:v>0.1461</x:v>
      </x:c>
      <x:c r="U31" s="34" t="n">
        <x:f>'WID_raw'!S31-'WID_raw'!R31</x:f>
        <x:v>0.22409999999999997</x:v>
      </x:c>
      <x:c r="V31" s="34" t="n">
        <x:f>'WID_raw'!T31</x:f>
        <x:v>0.127</x:v>
      </x:c>
      <x:c r="W31" s="40" t="str">
        <x:f>'WID_raw'!AB31</x:f>
        <x:v>https://wid.world/bulk_download/WID_data_ES.csv</x:v>
      </x:c>
    </x:row>
    <x:row r="32">
      <x:c r="A32" s="25" t="n">
        <x:f>'WID_raw'!A32</x:f>
        <x:v>2017</x:v>
      </x:c>
      <x:c r="B32" s="31" t="n">
        <x:f>'WID_raw'!D32</x:f>
        <x:v>5124.700000000001</x:v>
      </x:c>
      <x:c r="C32" s="31" t="n">
        <x:f>('WID_raw'!E32*'Parametros'!$B$6-'WID_raw'!D32*'Parametros'!$B$5)/('Parametros'!$B$6-'Parametros'!$B$5)</x:f>
        <x:v>17213.3</x:v>
      </x:c>
      <x:c r="D32" s="31" t="n">
        <x:f>('WID_raw'!F32*'Parametros'!$B$7-'WID_raw'!E32*'Parametros'!$B$6)/('Parametros'!$B$7-'Parametros'!$B$6)</x:f>
        <x:v>24935.700000000004</x:v>
      </x:c>
      <x:c r="E32" s="31" t="n">
        <x:f>('WID_raw'!G32*'Parametros'!$B$8-'WID_raw'!F32*'Parametros'!$B$7)/('Parametros'!$B$8-'Parametros'!$B$7)</x:f>
        <x:v>35112.299999999996</x:v>
      </x:c>
      <x:c r="F32" s="31" t="n">
        <x:f>'WID_raw'!J32</x:f>
        <x:v>47669.10000000001</x:v>
      </x:c>
      <x:c r="G32" s="31" t="n">
        <x:f>('WID_raw'!K32*'Parametros'!$B$10-'WID_raw'!I32*'Parametros'!$B$9)/('Parametros'!$B$10-'Parametros'!$B$9)</x:f>
        <x:v>81293.00000000001</x:v>
      </x:c>
      <x:c r="H32" s="31" t="n">
        <x:f>'WID_raw'!L32</x:f>
        <x:v>415783.3</x:v>
      </x:c>
      <x:c r="I32" s="31" t="n">
        <x:f>B32*'WID_raw'!B32</x:f>
        <x:v>4084.2905513226992</x:v>
      </x:c>
      <x:c r="J32" s="31" t="n">
        <x:f>C32*'WID_raw'!B32</x:f>
        <x:v>13718.679834347962</x:v>
      </x:c>
      <x:c r="K32" s="31" t="n">
        <x:f>D32*'WID_raw'!B32</x:f>
        <x:v>19873.2889536202</x:v>
      </x:c>
      <x:c r="L32" s="31" t="n">
        <x:f>E32*'WID_raw'!B32</x:f>
        <x:v>27983.84981076121</x:v>
      </x:c>
      <x:c r="M32" s="31" t="n">
        <x:f>F32*'WID_raw'!B32</x:f>
        <x:v>37991.3857825935</x:v>
      </x:c>
      <x:c r="N32" s="31" t="n">
        <x:f>G32*'WID_raw'!B32</x:f>
        <x:v>64789.008486092105</x:v>
      </x:c>
      <x:c r="O32" s="31" t="n">
        <x:f>H32*'WID_raw'!B32</x:f>
        <x:v>331371.5541568816</x:v>
      </x:c>
      <x:c r="P32" s="34" t="n">
        <x:f>'WID_raw'!M32</x:f>
        <x:v>0.0313</x:v>
      </x:c>
      <x:c r="Q32" s="34" t="n">
        <x:f>'WID_raw'!N32-'WID_raw'!M32</x:f>
        <x:v>0.10520000000000002</x:v>
      </x:c>
      <x:c r="R32" s="34" t="n">
        <x:f>'WID_raw'!O32-'WID_raw'!N32</x:f>
        <x:v>0.15249999999999997</x:v>
      </x:c>
      <x:c r="S32" s="34" t="n">
        <x:f>'WID_raw'!P32-'WID_raw'!O32</x:f>
        <x:v>0.21460000000000007</x:v>
      </x:c>
      <x:c r="T32" s="34" t="n">
        <x:f>'WID_raw'!R32-'WID_raw'!P32</x:f>
        <x:v>0.14569999999999994</x:v>
      </x:c>
      <x:c r="U32" s="34" t="n">
        <x:f>'WID_raw'!S32-'WID_raw'!R32</x:f>
        <x:v>0.22360000000000002</x:v>
      </x:c>
      <x:c r="V32" s="34" t="n">
        <x:f>'WID_raw'!T32</x:f>
        <x:v>0.1271</x:v>
      </x:c>
      <x:c r="W32" s="40" t="str">
        <x:f>'WID_raw'!AB32</x:f>
        <x:v>https://wid.world/bulk_download/WID_data_ES.csv</x:v>
      </x:c>
    </x:row>
    <x:row r="33">
      <x:c r="A33" s="25" t="n">
        <x:f>'WID_raw'!A33</x:f>
        <x:v>2018</x:v>
      </x:c>
      <x:c r="B33" s="31" t="n">
        <x:f>'WID_raw'!D33</x:f>
        <x:v>5441.700000000001</x:v>
      </x:c>
      <x:c r="C33" s="31" t="n">
        <x:f>('WID_raw'!E33*'Parametros'!$B$6-'WID_raw'!D33*'Parametros'!$B$5)/('Parametros'!$B$6-'Parametros'!$B$5)</x:f>
        <x:v>17982.1</x:v>
      </x:c>
      <x:c r="D33" s="31" t="n">
        <x:f>('WID_raw'!F33*'Parametros'!$B$7-'WID_raw'!E33*'Parametros'!$B$6)/('Parametros'!$B$7-'Parametros'!$B$6)</x:f>
        <x:v>25788.800000000007</x:v>
      </x:c>
      <x:c r="E33" s="31" t="n">
        <x:f>('WID_raw'!G33*'Parametros'!$B$8-'WID_raw'!F33*'Parametros'!$B$7)/('Parametros'!$B$8-'Parametros'!$B$7)</x:f>
        <x:v>35859</x:v>
      </x:c>
      <x:c r="F33" s="31" t="n">
        <x:f>'WID_raw'!J33</x:f>
        <x:v>48356.4</x:v>
      </x:c>
      <x:c r="G33" s="31" t="n">
        <x:f>('WID_raw'!K33*'Parametros'!$B$10-'WID_raw'!I33*'Parametros'!$B$9)/('Parametros'!$B$10-'Parametros'!$B$9)</x:f>
        <x:v>82112.40000000005</x:v>
      </x:c>
      <x:c r="H33" s="31" t="n">
        <x:f>'WID_raw'!L33</x:f>
        <x:v>419384.9</x:v>
      </x:c>
      <x:c r="I33" s="31" t="n">
        <x:f>B33*'WID_raw'!B33</x:f>
        <x:v>4388.428526902199</x:v>
      </x:c>
      <x:c r="J33" s="31" t="n">
        <x:f>C33*'WID_raw'!B33</x:f>
        <x:v>14501.56396229267</x:v>
      </x:c>
      <x:c r="K33" s="31" t="n">
        <x:f>D33*'WID_raw'!B33</x:f>
        <x:v>20797.233510589605</x:v>
      </x:c>
      <x:c r="L33" s="31" t="n">
        <x:f>E33*'WID_raw'!B33</x:f>
        <x:v>28918.289973020554</x:v>
      </x:c>
      <x:c r="M33" s="31" t="n">
        <x:f>F33*'WID_raw'!B33</x:f>
        <x:v>38996.748298931125</x:v>
      </x:c>
      <x:c r="N33" s="31" t="n">
        <x:f>G33*'WID_raw'!B33</x:f>
        <x:v>66219.08568506246</x:v>
      </x:c>
      <x:c r="O33" s="31" t="n">
        <x:f>H33*'WID_raw'!B33</x:f>
        <x:v>338210.60677950387</x:v>
      </x:c>
      <x:c r="P33" s="34" t="n">
        <x:f>'WID_raw'!M33</x:f>
        <x:v>0.0326</x:v>
      </x:c>
      <x:c r="Q33" s="34" t="n">
        <x:f>'WID_raw'!N33-'WID_raw'!M33</x:f>
        <x:v>0.10750000000000001</x:v>
      </x:c>
      <x:c r="R33" s="34" t="n">
        <x:f>'WID_raw'!O33-'WID_raw'!N33</x:f>
        <x:v>0.1543</x:v>
      </x:c>
      <x:c r="S33" s="34" t="n">
        <x:f>'WID_raw'!P33-'WID_raw'!O33</x:f>
        <x:v>0.21450000000000002</x:v>
      </x:c>
      <x:c r="T33" s="34" t="n">
        <x:f>'WID_raw'!R33-'WID_raw'!P33</x:f>
        <x:v>0.14460000000000006</x:v>
      </x:c>
      <x:c r="U33" s="34" t="n">
        <x:f>'WID_raw'!S33-'WID_raw'!R33</x:f>
        <x:v>0.22109999999999996</x:v>
      </x:c>
      <x:c r="V33" s="34" t="n">
        <x:f>'WID_raw'!T33</x:f>
        <x:v>0.1254</x:v>
      </x:c>
      <x:c r="W33" s="40" t="str">
        <x:f>'WID_raw'!AB33</x:f>
        <x:v>https://wid.world/bulk_download/WID_data_ES.csv</x:v>
      </x:c>
    </x:row>
    <x:row r="34">
      <x:c r="A34" s="25" t="n">
        <x:f>'WID_raw'!A34</x:f>
        <x:v>2019</x:v>
      </x:c>
      <x:c r="B34" s="31" t="n">
        <x:f>'WID_raw'!D34</x:f>
        <x:v>5508.400000000001</x:v>
      </x:c>
      <x:c r="C34" s="31" t="n">
        <x:f>('WID_raw'!E34*'Parametros'!$B$6-'WID_raw'!D34*'Parametros'!$B$5)/('Parametros'!$B$6-'Parametros'!$B$5)</x:f>
        <x:v>18130.8</x:v>
      </x:c>
      <x:c r="D34" s="31" t="n">
        <x:f>('WID_raw'!F34*'Parametros'!$B$7-'WID_raw'!E34*'Parametros'!$B$6)/('Parametros'!$B$7-'Parametros'!$B$6)</x:f>
        <x:v>26099.3</x:v>
      </x:c>
      <x:c r="E34" s="31" t="n">
        <x:f>('WID_raw'!G34*'Parametros'!$B$8-'WID_raw'!F34*'Parametros'!$B$7)/('Parametros'!$B$8-'Parametros'!$B$7)</x:f>
        <x:v>36267.89999999999</x:v>
      </x:c>
      <x:c r="F34" s="31" t="n">
        <x:f>'WID_raw'!J34</x:f>
        <x:v>48839.10000000001</x:v>
      </x:c>
      <x:c r="G34" s="31" t="n">
        <x:f>('WID_raw'!K34*'Parametros'!$B$10-'WID_raw'!I34*'Parametros'!$B$9)/('Parametros'!$B$10-'Parametros'!$B$9)</x:f>
        <x:v>82275.90000000005</x:v>
      </x:c>
      <x:c r="H34" s="31" t="n">
        <x:f>'WID_raw'!L34</x:f>
        <x:v>403573.6</x:v>
      </x:c>
      <x:c r="I34" s="31" t="n">
        <x:f>B34*'WID_raw'!B34</x:f>
        <x:v>4505.682186532021</x:v>
      </x:c>
      <x:c r="J34" s="31" t="n">
        <x:f>C34*'WID_raw'!B34</x:f>
        <x:v>14830.372265553473</x:v>
      </x:c>
      <x:c r="K34" s="31" t="n">
        <x:f>D34*'WID_raw'!B34</x:f>
        <x:v>21348.33183700442</x:v>
      </x:c>
      <x:c r="L34" s="31" t="n">
        <x:f>E34*'WID_raw'!B34</x:f>
        <x:v>29665.89771493076</x:v>
      </x:c>
      <x:c r="M34" s="31" t="n">
        <x:f>F34*'WID_raw'!B34</x:f>
        <x:v>39948.70795081259</x:v>
      </x:c>
      <x:c r="N34" s="31" t="n">
        <x:f>G34*'WID_raw'!B34</x:f>
        <x:v>67298.86301119928</x:v>
      </x:c>
      <x:c r="O34" s="31" t="n">
        <x:f>H34*'WID_raw'!B34</x:f>
        <x:v>330109.356705141</x:v>
      </x:c>
      <x:c r="P34" s="34" t="n">
        <x:f>'WID_raw'!M34</x:f>
        <x:v>0.0329</x:v>
      </x:c>
      <x:c r="Q34" s="34" t="n">
        <x:f>'WID_raw'!N34-'WID_raw'!M34</x:f>
        <x:v>0.10809999999999999</x:v>
      </x:c>
      <x:c r="R34" s="34" t="n">
        <x:f>'WID_raw'!O34-'WID_raw'!N34</x:f>
        <x:v>0.15570000000000003</x:v>
      </x:c>
      <x:c r="S34" s="34" t="n">
        <x:f>'WID_raw'!P34-'WID_raw'!O34</x:f>
        <x:v>0.21639999999999998</x:v>
      </x:c>
      <x:c r="T34" s="34" t="n">
        <x:f>'WID_raw'!R34-'WID_raw'!P34</x:f>
        <x:v>0.14570000000000005</x:v>
      </x:c>
      <x:c r="U34" s="34" t="n">
        <x:f>'WID_raw'!S34-'WID_raw'!R34</x:f>
        <x:v>0.2208</x:v>
      </x:c>
      <x:c r="V34" s="34" t="n">
        <x:f>'WID_raw'!T34</x:f>
        <x:v>0.1204</x:v>
      </x:c>
      <x:c r="W34" s="40" t="str">
        <x:f>'WID_raw'!AB34</x:f>
        <x:v>https://wid.world/bulk_download/WID_data_ES.csv</x:v>
      </x:c>
    </x:row>
    <x:row r="35">
      <x:c r="A35" s="25" t="n">
        <x:f>'WID_raw'!A35</x:f>
        <x:v>2020</x:v>
      </x:c>
      <x:c r="B35" s="31" t="n">
        <x:f>'WID_raw'!D35</x:f>
        <x:v>4788.5</x:v>
      </x:c>
      <x:c r="C35" s="31" t="n">
        <x:f>('WID_raw'!E35*'Parametros'!$B$6-'WID_raw'!D35*'Parametros'!$B$5)/('Parametros'!$B$6-'Parametros'!$B$5)</x:f>
        <x:v>15760.500000000002</x:v>
      </x:c>
      <x:c r="D35" s="31" t="n">
        <x:f>('WID_raw'!F35*'Parametros'!$B$7-'WID_raw'!E35*'Parametros'!$B$6)/('Parametros'!$B$7-'Parametros'!$B$6)</x:f>
        <x:v>22687.300000000007</x:v>
      </x:c>
      <x:c r="E35" s="31" t="n">
        <x:f>('WID_raw'!G35*'Parametros'!$B$8-'WID_raw'!F35*'Parametros'!$B$7)/('Parametros'!$B$8-'Parametros'!$B$7)</x:f>
        <x:v>31526.499999999996</x:v>
      </x:c>
      <x:c r="F35" s="31" t="n">
        <x:f>'WID_raw'!J35</x:f>
        <x:v>42454.10000000001</x:v>
      </x:c>
      <x:c r="G35" s="31" t="n">
        <x:f>('WID_raw'!K35*'Parametros'!$B$10-'WID_raw'!I35*'Parametros'!$B$9)/('Parametros'!$B$10-'Parametros'!$B$9)</x:f>
        <x:v>71520.80000000002</x:v>
      </x:c>
      <x:c r="H35" s="31" t="n">
        <x:f>'WID_raw'!L35</x:f>
        <x:v>350815.4</x:v>
      </x:c>
      <x:c r="I35" s="31" t="n">
        <x:f>B35*'WID_raw'!B35</x:f>
        <x:v>3961.2421182394028</x:v>
      </x:c>
      <x:c r="J35" s="31" t="n">
        <x:f>C35*'WID_raw'!B35</x:f>
        <x:v>13037.727138876917</x:v>
      </x:c>
      <x:c r="K35" s="31" t="n">
        <x:f>D35*'WID_raw'!B35</x:f>
        <x:v>18767.85805766583</x:v>
      </x:c>
      <x:c r="L35" s="31" t="n">
        <x:f>E35*'WID_raw'!B35</x:f>
        <x:v>26080.004101634022</x:v>
      </x:c>
      <x:c r="M35" s="31" t="n">
        <x:f>F35*'WID_raw'!B35</x:f>
        <x:v>35119.75963494779</x:v>
      </x:c>
      <x:c r="N35" s="31" t="n">
        <x:f>G35*'WID_raw'!B35</x:f>
        <x:v>59164.91704921724</x:v>
      </x:c>
      <x:c r="O35" s="31" t="n">
        <x:f>H35*'WID_raw'!B35</x:f>
        <x:v>290208.77899279597</x:v>
      </x:c>
      <x:c r="P35" s="34" t="n">
        <x:f>'WID_raw'!M35</x:f>
        <x:v>0.0329</x:v>
      </x:c>
      <x:c r="Q35" s="34" t="n">
        <x:f>'WID_raw'!N35-'WID_raw'!M35</x:f>
        <x:v>0.10809999999999999</x:v>
      </x:c>
      <x:c r="R35" s="34" t="n">
        <x:f>'WID_raw'!O35-'WID_raw'!N35</x:f>
        <x:v>0.15570000000000003</x:v>
      </x:c>
      <x:c r="S35" s="34" t="n">
        <x:f>'WID_raw'!P35-'WID_raw'!O35</x:f>
        <x:v>0.21639999999999998</x:v>
      </x:c>
      <x:c r="T35" s="34" t="n">
        <x:f>'WID_raw'!R35-'WID_raw'!P35</x:f>
        <x:v>0.14570000000000005</x:v>
      </x:c>
      <x:c r="U35" s="34" t="n">
        <x:f>'WID_raw'!S35-'WID_raw'!R35</x:f>
        <x:v>0.2208</x:v>
      </x:c>
      <x:c r="V35" s="34" t="n">
        <x:f>'WID_raw'!T35</x:f>
        <x:v>0.1204</x:v>
      </x:c>
      <x:c r="W35" s="40" t="str">
        <x:f>'WID_raw'!AB35</x:f>
        <x:v>https://wid.world/bulk_download/WID_data_ES.csv</x:v>
      </x:c>
    </x:row>
    <x:row r="36">
      <x:c r="A36" s="25" t="n">
        <x:f>'WID_raw'!A36</x:f>
        <x:v>2021</x:v>
      </x:c>
      <x:c r="B36" s="31" t="n">
        <x:f>'WID_raw'!D36</x:f>
        <x:v>5149.3</x:v>
      </x:c>
      <x:c r="C36" s="31" t="n">
        <x:f>('WID_raw'!E36*'Parametros'!$B$6-'WID_raw'!D36*'Parametros'!$B$5)/('Parametros'!$B$6-'Parametros'!$B$5)</x:f>
        <x:v>16991.9</x:v>
      </x:c>
      <x:c r="D36" s="31" t="n">
        <x:f>('WID_raw'!F36*'Parametros'!$B$7-'WID_raw'!E36*'Parametros'!$B$6)/('Parametros'!$B$7-'Parametros'!$B$6)</x:f>
        <x:v>24584.1</x:v>
      </x:c>
      <x:c r="E36" s="31" t="n">
        <x:f>('WID_raw'!G36*'Parametros'!$B$8-'WID_raw'!F36*'Parametros'!$B$7)/('Parametros'!$B$8-'Parametros'!$B$7)</x:f>
        <x:v>33966.299999999996</x:v>
      </x:c>
      <x:c r="F36" s="31" t="n">
        <x:f>'WID_raw'!J36</x:f>
        <x:v>45448.5</x:v>
      </x:c>
      <x:c r="G36" s="31" t="n">
        <x:f>('WID_raw'!K36*'Parametros'!$B$10-'WID_raw'!I36*'Parametros'!$B$9)/('Parametros'!$B$10-'Parametros'!$B$9)</x:f>
        <x:v>76911.00000000004</x:v>
      </x:c>
      <x:c r="H36" s="31" t="n">
        <x:f>'WID_raw'!L36</x:f>
        <x:v>385942.7</x:v>
      </x:c>
      <x:c r="I36" s="31" t="n">
        <x:f>B36*'WID_raw'!B36</x:f>
        <x:v>4368.59366966486</x:v>
      </x:c>
      <x:c r="J36" s="31" t="n">
        <x:f>C36*'WID_raw'!B36</x:f>
        <x:v>14415.68888500929</x:v>
      </x:c>
      <x:c r="K36" s="31" t="n">
        <x:f>D36*'WID_raw'!B36</x:f>
        <x:v>20856.804543220995</x:v>
      </x:c>
      <x:c r="L36" s="31" t="n">
        <x:f>E36*'WID_raw'!B36</x:f>
        <x:v>28816.5310162425</x:v>
      </x:c>
      <x:c r="M36" s="31" t="n">
        <x:f>F36*'WID_raw'!B36</x:f>
        <x:v>38557.867942392826</x:v>
      </x:c>
      <x:c r="N36" s="31" t="n">
        <x:f>G36*'WID_raw'!B36</x:f>
        <x:v>65250.21026694778</x:v>
      </x:c>
      <x:c r="O36" s="31" t="n">
        <x:f>H36*'WID_raw'!B36</x:f>
        <x:v>327428.35648988484</x:v>
      </x:c>
      <x:c r="P36" s="34" t="n">
        <x:f>'WID_raw'!M36</x:f>
        <x:v>0.0327</x:v>
      </x:c>
      <x:c r="Q36" s="34" t="n">
        <x:f>'WID_raw'!N36-'WID_raw'!M36</x:f>
        <x:v>0.10799999999999998</x:v>
      </x:c>
      <x:c r="R36" s="34" t="n">
        <x:f>'WID_raw'!O36-'WID_raw'!N36</x:f>
        <x:v>0.1563</x:v>
      </x:c>
      <x:c r="S36" s="34" t="n">
        <x:f>'WID_raw'!P36-'WID_raw'!O36</x:f>
        <x:v>0.21590000000000004</x:v>
      </x:c>
      <x:c r="T36" s="34" t="n">
        <x:f>'WID_raw'!R36-'WID_raw'!P36</x:f>
        <x:v>0.14439999999999997</x:v>
      </x:c>
      <x:c r="U36" s="34" t="n">
        <x:f>'WID_raw'!S36-'WID_raw'!R36</x:f>
        <x:v>0.22000000000000008</x:v>
      </x:c>
      <x:c r="V36" s="34" t="n">
        <x:f>'WID_raw'!T36</x:f>
        <x:v>0.1227</x:v>
      </x:c>
      <x:c r="W36" s="40" t="str">
        <x:f>'WID_raw'!AB36</x:f>
        <x:v>https://wid.world/bulk_download/WID_data_ES.csv</x:v>
      </x:c>
    </x:row>
    <x:row r="37">
      <x:c r="A37" s="25" t="n">
        <x:f>'WID_raw'!A37</x:f>
        <x:v>2022</x:v>
      </x:c>
      <x:c r="B37" s="31" t="n">
        <x:f>'WID_raw'!D37</x:f>
        <x:v>5388.3</x:v>
      </x:c>
      <x:c r="C37" s="31" t="n">
        <x:f>('WID_raw'!E37*'Parametros'!$B$6-'WID_raw'!D37*'Parametros'!$B$5)/('Parametros'!$B$6-'Parametros'!$B$5)</x:f>
        <x:v>18008.7</x:v>
      </x:c>
      <x:c r="D37" s="31" t="n">
        <x:f>('WID_raw'!F37*'Parametros'!$B$7-'WID_raw'!E37*'Parametros'!$B$6)/('Parametros'!$B$7-'Parametros'!$B$6)</x:f>
        <x:v>26448.3</x:v>
      </x:c>
      <x:c r="E37" s="31" t="n">
        <x:f>('WID_raw'!G37*'Parametros'!$B$8-'WID_raw'!F37*'Parametros'!$B$7)/('Parametros'!$B$8-'Parametros'!$B$7)</x:f>
        <x:v>35907.89999999999</x:v>
      </x:c>
      <x:c r="F37" s="31" t="n">
        <x:f>'WID_raw'!J37</x:f>
        <x:v>47075.9</x:v>
      </x:c>
      <x:c r="G37" s="31" t="n">
        <x:f>('WID_raw'!K37*'Parametros'!$B$10-'WID_raw'!I37*'Parametros'!$B$9)/('Parametros'!$B$10-'Parametros'!$B$9)</x:f>
        <x:v>80469.40000000002</x:v>
      </x:c>
      <x:c r="H37" s="31" t="n">
        <x:f>'WID_raw'!L37</x:f>
        <x:v>414411.4</x:v>
      </x:c>
      <x:c r="I37" s="31" t="n">
        <x:f>B37*'WID_raw'!B37</x:f>
        <x:v>4786.755132132769</x:v>
      </x:c>
      <x:c r="J37" s="31" t="n">
        <x:f>C37*'WID_raw'!B37</x:f>
        <x:v>15998.225256210566</x:v>
      </x:c>
      <x:c r="K37" s="31" t="n">
        <x:f>D37*'WID_raw'!B37</x:f>
        <x:v>23495.6360561192</x:v>
      </x:c>
      <x:c r="L37" s="31" t="n">
        <x:f>E37*'WID_raw'!B37</x:f>
        <x:v>31899.174991947402</x:v>
      </x:c>
      <x:c r="M37" s="31" t="n">
        <x:f>F37*'WID_raw'!B37</x:f>
        <x:v>41820.38971934915</x:v>
      </x:c>
      <x:c r="N37" s="31" t="n">
        <x:f>G37*'WID_raw'!B37</x:f>
        <x:v>71485.87002016309</x:v>
      </x:c>
      <x:c r="O37" s="31" t="n">
        <x:f>H37*'WID_raw'!B37</x:f>
        <x:v>368146.8915547252</x:v>
      </x:c>
      <x:c r="P37" s="34" t="n">
        <x:f>'WID_raw'!M37</x:f>
        <x:v>0.0324</x:v>
      </x:c>
      <x:c r="Q37" s="34" t="n">
        <x:f>'WID_raw'!N37-'WID_raw'!M37</x:f>
        <x:v>0.10840000000000001</x:v>
      </x:c>
      <x:c r="R37" s="34" t="n">
        <x:f>'WID_raw'!O37-'WID_raw'!N37</x:f>
        <x:v>0.1591</x:v>
      </x:c>
      <x:c r="S37" s="34" t="n">
        <x:f>'WID_raw'!P37-'WID_raw'!O37</x:f>
        <x:v>0.21600000000000003</x:v>
      </x:c>
      <x:c r="T37" s="34" t="n">
        <x:f>'WID_raw'!R37-'WID_raw'!P37</x:f>
        <x:v>0.14160000000000006</x:v>
      </x:c>
      <x:c r="U37" s="34" t="n">
        <x:f>'WID_raw'!S37-'WID_raw'!R37</x:f>
        <x:v>0.2178</x:v>
      </x:c>
      <x:c r="V37" s="34" t="n">
        <x:f>'WID_raw'!T37</x:f>
        <x:v>0.1247</x:v>
      </x:c>
      <x:c r="W37" s="40" t="str">
        <x:f>'WID_raw'!AB37</x:f>
        <x:v>https://wid.world/bulk_download/WID_data_ES.csv</x:v>
      </x:c>
    </x:row>
    <x:row r="38">
      <x:c r="A38" s="26" t="n">
        <x:f>'WID_raw'!A38</x:f>
        <x:v>2023</x:v>
      </x:c>
      <x:c r="B38" s="32" t="n">
        <x:f>'WID_raw'!D38</x:f>
        <x:v>5514</x:v>
      </x:c>
      <x:c r="C38" s="32" t="n">
        <x:f>('WID_raw'!E38*'Parametros'!$B$6-'WID_raw'!D38*'Parametros'!$B$5)/('Parametros'!$B$6-'Parametros'!$B$5)</x:f>
        <x:v>18405.399999999998</x:v>
      </x:c>
      <x:c r="D38" s="32" t="n">
        <x:f>('WID_raw'!F38*'Parametros'!$B$7-'WID_raw'!E38*'Parametros'!$B$6)/('Parametros'!$B$7-'Parametros'!$B$6)</x:f>
        <x:v>26951.6</x:v>
      </x:c>
      <x:c r="E38" s="32" t="n">
        <x:f>('WID_raw'!G38*'Parametros'!$B$8-'WID_raw'!F38*'Parametros'!$B$7)/('Parametros'!$B$8-'Parametros'!$B$7)</x:f>
        <x:v>36817.00000000001</x:v>
      </x:c>
      <x:c r="F38" s="32" t="n">
        <x:f>'WID_raw'!J38</x:f>
        <x:v>48527.4</x:v>
      </x:c>
      <x:c r="G38" s="32" t="n">
        <x:f>('WID_raw'!K38*'Parametros'!$B$10-'WID_raw'!I38*'Parametros'!$B$9)/('Parametros'!$B$10-'Parametros'!$B$9)</x:f>
        <x:v>82334.40000000004</x:v>
      </x:c>
      <x:c r="H38" s="32" t="n">
        <x:f>'WID_raw'!L38</x:f>
        <x:v>411025.8</x:v>
      </x:c>
      <x:c r="I38" s="32" t="n">
        <x:f>B38*'WID_raw'!B38</x:f>
        <x:v>5203.851106524467</x:v>
      </x:c>
      <x:c r="J38" s="32" t="n">
        <x:f>C38*'WID_raw'!B38</x:f>
        <x:v>17370.141667759413</x:v>
      </x:c>
      <x:c r="K38" s="32" t="n">
        <x:f>D38*'WID_raw'!B38</x:f>
        <x:v>25435.63900663852</x:v>
      </x:c>
      <x:c r="L38" s="32" t="n">
        <x:f>E38*'WID_raw'!B38</x:f>
        <x:v>34746.13460081816</x:v>
      </x:c>
      <x:c r="M38" s="32" t="n">
        <x:f>F38*'WID_raw'!B38</x:f>
        <x:v>45797.85349777937</x:v>
      </x:c>
      <x:c r="N38" s="32" t="n">
        <x:f>G38*'WID_raw'!B38</x:f>
        <x:v>77703.29317102434</x:v>
      </x:c>
      <x:c r="O38" s="32" t="n">
        <x:f>H38*'WID_raw'!B38</x:f>
        <x:v>387906.6130105376</x:v>
      </x:c>
      <x:c r="P38" s="35" t="n">
        <x:f>'WID_raw'!M38</x:f>
        <x:v>0.0325</x:v>
      </x:c>
      <x:c r="Q38" s="35" t="n">
        <x:f>'WID_raw'!N38-'WID_raw'!M38</x:f>
        <x:v>0.1086</x:v>
      </x:c>
      <x:c r="R38" s="35" t="n">
        <x:f>'WID_raw'!O38-'WID_raw'!N38</x:f>
        <x:v>0.15889999999999999</x:v>
      </x:c>
      <x:c r="S38" s="35" t="n">
        <x:f>'WID_raw'!P38-'WID_raw'!O38</x:f>
        <x:v>0.2172</x:v>
      </x:c>
      <x:c r="T38" s="35" t="n">
        <x:f>'WID_raw'!R38-'WID_raw'!P38</x:f>
        <x:v>0.1431</x:v>
      </x:c>
      <x:c r="U38" s="35" t="n">
        <x:f>'WID_raw'!S38-'WID_raw'!R38</x:f>
        <x:v>0.21850000000000003</x:v>
      </x:c>
      <x:c r="V38" s="35" t="n">
        <x:f>'WID_raw'!T38</x:f>
        <x:v>0.1212</x:v>
      </x:c>
      <x:c r="W38" s="41" t="str">
        <x:f>'WID_raw'!AB38</x:f>
        <x:v>https://wid.world/bulk_download/WID_data_ES.csv</x:v>
      </x:c>
    </x:row>
  </x:sheetData>
  <x:mergeCells>
    <x:mergeCell ref="A1:W1"/>
    <x:mergeCell ref="A2:W2"/>
  </x:mergeCells>
  <x:pageMargins left="0.7" right="0.7" top="0.75" bottom="0.75" header="0.3" footer="0.3"/>
  <x:tableParts count="1">
    <x:tablePart xmlns:r="http://schemas.openxmlformats.org/officeDocument/2006/relationships" r:id="R76d1e01302b046d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2" hidden="0" customWidth="1"/>
    <x:col min="7" max="7" width="23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2" hidden="0" customWidth="1"/>
    <x:col min="13" max="13" width="23" hidden="0" customWidth="1"/>
    <x:col min="14" max="14" width="34" hidden="0" customWidth="1"/>
  </x:cols>
  <x:sheetData>
    <x:row r="1" ht="28" customHeight="1">
      <x:c r="A1" s="3" t="str">
        <x:v>WID: limites de los tramos de renta, 1990-2023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34" customHeight="1">
      <x:c r="A2" s="7" t="str">
        <x:v>Cada umbral es la renta que separa dos grupos de adultos. Los importes no son los limites legales del IRPF.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4" ht="36" customHeight="1">
      <x:c r="A4" s="13" t="str">
        <x:v>Ano</x:v>
      </x:c>
      <x:c r="B4" s="13" t="str">
        <x:v>Tope Q1 (P20), euros de 2025</x:v>
      </x:c>
      <x:c r="C4" s="13" t="str">
        <x:v>Tope Q2 (P40), euros de 2025</x:v>
      </x:c>
      <x:c r="D4" s="13" t="str">
        <x:v>Tope Q3 (P60), euros de 2025</x:v>
      </x:c>
      <x:c r="E4" s="13" t="str">
        <x:v>Tope Q4 (P80), euros de 2025</x:v>
      </x:c>
      <x:c r="F4" s="13" t="str">
        <x:v>Tope decil 9 (P90), euros de 2025</x:v>
      </x:c>
      <x:c r="G4" s="13" t="str">
        <x:v>Entrada 1% superior (P99), euros de 2025</x:v>
      </x:c>
      <x:c r="H4" s="13" t="str">
        <x:v>Tope Q1 (P20), euros corrientes</x:v>
      </x:c>
      <x:c r="I4" s="13" t="str">
        <x:v>Tope Q2 (P40), euros corrientes</x:v>
      </x:c>
      <x:c r="J4" s="13" t="str">
        <x:v>Tope Q3 (P60), euros corrientes</x:v>
      </x:c>
      <x:c r="K4" s="13" t="str">
        <x:v>Tope Q4 (P80), euros corrientes</x:v>
      </x:c>
      <x:c r="L4" s="13" t="str">
        <x:v>Tope decil 9 (P90), euros corrientes</x:v>
      </x:c>
      <x:c r="M4" s="13" t="str">
        <x:v>Entrada 1% superior (P99), euros corrientes</x:v>
      </x:c>
      <x:c r="N4" s="13" t="str">
        <x:v>Fuente URL</x:v>
      </x:c>
    </x:row>
    <x:row r="5">
      <x:c r="A5" s="24" t="n">
        <x:f>'WID_raw'!A5</x:f>
        <x:v>1990</x:v>
      </x:c>
      <x:c r="B5" s="30" t="n">
        <x:f>'WID_raw'!U5</x:f>
        <x:v>9675.7</x:v>
      </x:c>
      <x:c r="C5" s="30" t="n">
        <x:f>'WID_raw'!V5</x:f>
        <x:v>15703.9</x:v>
      </x:c>
      <x:c r="D5" s="30" t="n">
        <x:f>'WID_raw'!W5</x:f>
        <x:v>22428.8</x:v>
      </x:c>
      <x:c r="E5" s="30" t="n">
        <x:f>'WID_raw'!X5</x:f>
        <x:v>35110.7</x:v>
      </x:c>
      <x:c r="F5" s="30" t="n">
        <x:f>'WID_raw'!Y5</x:f>
        <x:v>50251.9</x:v>
      </x:c>
      <x:c r="G5" s="30" t="n">
        <x:f>'WID_raw'!Z5</x:f>
        <x:v>139094.4</x:v>
      </x:c>
      <x:c r="H5" s="30" t="n">
        <x:f>B5*'WID_raw'!B5</x:f>
        <x:v>3710.1324730277065</x:v>
      </x:c>
      <x:c r="I5" s="30" t="n">
        <x:f>C5*'WID_raw'!B5</x:f>
        <x:v>6021.6366095662115</x:v>
      </x:c>
      <x:c r="J5" s="30" t="n">
        <x:f>D5*'WID_raw'!B5</x:f>
        <x:v>8600.289303207397</x:v>
      </x:c>
      <x:c r="K5" s="30" t="n">
        <x:f>E5*'WID_raw'!B5</x:f>
        <x:v>13463.144601500033</x:v>
      </x:c>
      <x:c r="L5" s="30" t="n">
        <x:f>F5*'WID_raw'!B5</x:f>
        <x:v>19269.014750492574</x:v>
      </x:c>
      <x:c r="M5" s="30" t="n">
        <x:f>G5*'WID_raw'!B5</x:f>
        <x:v>53335.53647346496</x:v>
      </x:c>
      <x:c r="N5" s="39" t="str">
        <x:f>'WID_raw'!AB5</x:f>
        <x:v>https://wid.world/bulk_download/WID_data_ES.csv</x:v>
      </x:c>
    </x:row>
    <x:row r="6">
      <x:c r="A6" s="25" t="n">
        <x:f>'WID_raw'!A6</x:f>
        <x:v>1991</x:v>
      </x:c>
      <x:c r="B6" s="31" t="n">
        <x:f>'WID_raw'!U6</x:f>
        <x:v>10251.4</x:v>
      </x:c>
      <x:c r="C6" s="31" t="n">
        <x:f>'WID_raw'!V6</x:f>
        <x:v>15947.7</x:v>
      </x:c>
      <x:c r="D6" s="31" t="n">
        <x:f>'WID_raw'!W6</x:f>
        <x:v>23118.5</x:v>
      </x:c>
      <x:c r="E6" s="31" t="n">
        <x:f>'WID_raw'!X6</x:f>
        <x:v>35540.9</x:v>
      </x:c>
      <x:c r="F6" s="31" t="n">
        <x:f>'WID_raw'!Y6</x:f>
        <x:v>50775.9</x:v>
      </x:c>
      <x:c r="G6" s="31" t="n">
        <x:f>'WID_raw'!Z6</x:f>
        <x:v>137248.5</x:v>
      </x:c>
      <x:c r="H6" s="31" t="n">
        <x:f>B6*'WID_raw'!B6</x:f>
        <x:v>4203.496491312981</x:v>
      </x:c>
      <x:c r="I6" s="31" t="n">
        <x:f>C6*'WID_raw'!B6</x:f>
        <x:v>6539.214253127575</x:v>
      </x:c>
      <x:c r="J6" s="31" t="n">
        <x:f>D6*'WID_raw'!B6</x:f>
        <x:v>9479.537783563137</x:v>
      </x:c>
      <x:c r="K6" s="31" t="n">
        <x:f>E6*'WID_raw'!B6</x:f>
        <x:v>14573.23374837637</x:v>
      </x:c>
      <x:c r="L6" s="31" t="n">
        <x:f>F6*'WID_raw'!B6</x:f>
        <x:v>20820.211628973484</x:v>
      </x:c>
      <x:c r="M6" s="31" t="n">
        <x:f>G6*'WID_raw'!B6</x:f>
        <x:v>56277.54142731428</x:v>
      </x:c>
      <x:c r="N6" s="40" t="str">
        <x:f>'WID_raw'!AB6</x:f>
        <x:v>https://wid.world/bulk_download/WID_data_ES.csv</x:v>
      </x:c>
    </x:row>
    <x:row r="7">
      <x:c r="A7" s="25" t="n">
        <x:f>'WID_raw'!A7</x:f>
        <x:v>1992</x:v>
      </x:c>
      <x:c r="B7" s="31" t="n">
        <x:f>'WID_raw'!U7</x:f>
        <x:v>10317</x:v>
      </x:c>
      <x:c r="C7" s="31" t="n">
        <x:f>'WID_raw'!V7</x:f>
        <x:v>16353.8</x:v>
      </x:c>
      <x:c r="D7" s="31" t="n">
        <x:f>'WID_raw'!W7</x:f>
        <x:v>23334.9</x:v>
      </x:c>
      <x:c r="E7" s="31" t="n">
        <x:f>'WID_raw'!X7</x:f>
        <x:v>35601.4</x:v>
      </x:c>
      <x:c r="F7" s="31" t="n">
        <x:f>'WID_raw'!Y7</x:f>
        <x:v>49573.2</x:v>
      </x:c>
      <x:c r="G7" s="31" t="n">
        <x:f>'WID_raw'!Z7</x:f>
        <x:v>132978.7</x:v>
      </x:c>
      <x:c r="H7" s="31" t="n">
        <x:f>B7*'WID_raw'!B7</x:f>
        <x:v>4514.287067592144</x:v>
      </x:c>
      <x:c r="I7" s="31" t="n">
        <x:f>C7*'WID_raw'!B7</x:f>
        <x:v>7155.737893378734</x:v>
      </x:c>
      <x:c r="J7" s="31" t="n">
        <x:f>D7*'WID_raw'!B7</x:f>
        <x:v>10210.374846714736</x:v>
      </x:c>
      <x:c r="K7" s="31" t="n">
        <x:f>E7*'WID_raw'!B7</x:f>
        <x:v>15577.681458580495</x:v>
      </x:c>
      <x:c r="L7" s="31" t="n">
        <x:f>F7*'WID_raw'!B7</x:f>
        <x:v>21691.155923151968</x:v>
      </x:c>
      <x:c r="M7" s="31" t="n">
        <x:f>G7*'WID_raw'!B7</x:f>
        <x:v>58185.9092444718</x:v>
      </x:c>
      <x:c r="N7" s="40" t="str">
        <x:f>'WID_raw'!AB7</x:f>
        <x:v>https://wid.world/bulk_download/WID_data_ES.csv</x:v>
      </x:c>
    </x:row>
    <x:row r="8">
      <x:c r="A8" s="25" t="n">
        <x:f>'WID_raw'!A8</x:f>
        <x:v>1993</x:v>
      </x:c>
      <x:c r="B8" s="31" t="n">
        <x:f>'WID_raw'!U8</x:f>
        <x:v>10164.2</x:v>
      </x:c>
      <x:c r="C8" s="31" t="n">
        <x:f>'WID_raw'!V8</x:f>
        <x:v>16134.5</x:v>
      </x:c>
      <x:c r="D8" s="31" t="n">
        <x:f>'WID_raw'!W8</x:f>
        <x:v>23035.6</x:v>
      </x:c>
      <x:c r="E8" s="31" t="n">
        <x:f>'WID_raw'!X8</x:f>
        <x:v>34197.6</x:v>
      </x:c>
      <x:c r="F8" s="31" t="n">
        <x:f>'WID_raw'!Y8</x:f>
        <x:v>47878.2</x:v>
      </x:c>
      <x:c r="G8" s="31" t="n">
        <x:f>'WID_raw'!Z8</x:f>
        <x:v>126317.9</x:v>
      </x:c>
      <x:c r="H8" s="31" t="n">
        <x:f>B8*'WID_raw'!B8</x:f>
        <x:v>4649.218008339406</x:v>
      </x:c>
      <x:c r="I8" s="31" t="n">
        <x:f>C8*'WID_raw'!B8</x:f>
        <x:v>7380.099560767413</x:v>
      </x:c>
      <x:c r="J8" s="31" t="n">
        <x:f>D8*'WID_raw'!B8</x:f>
        <x:v>10536.739374756813</x:v>
      </x:c>
      <x:c r="K8" s="31" t="n">
        <x:f>E8*'WID_raw'!B8</x:f>
        <x:v>15642.362189054491</x:v>
      </x:c>
      <x:c r="L8" s="31" t="n">
        <x:f>F8*'WID_raw'!B8</x:f>
        <x:v>21900.02062600851</x:v>
      </x:c>
      <x:c r="M8" s="31" t="n">
        <x:f>G8*'WID_raw'!B8</x:f>
        <x:v>57779.21090254188</x:v>
      </x:c>
      <x:c r="N8" s="40" t="str">
        <x:f>'WID_raw'!AB8</x:f>
        <x:v>https://wid.world/bulk_download/WID_data_ES.csv</x:v>
      </x:c>
    </x:row>
    <x:row r="9">
      <x:c r="A9" s="25" t="n">
        <x:f>'WID_raw'!A9</x:f>
        <x:v>1994</x:v>
      </x:c>
      <x:c r="B9" s="31" t="n">
        <x:f>'WID_raw'!U9</x:f>
        <x:v>9835.2</x:v>
      </x:c>
      <x:c r="C9" s="31" t="n">
        <x:f>'WID_raw'!V9</x:f>
        <x:v>15844</x:v>
      </x:c>
      <x:c r="D9" s="31" t="n">
        <x:f>'WID_raw'!W9</x:f>
        <x:v>22833.3</x:v>
      </x:c>
      <x:c r="E9" s="31" t="n">
        <x:f>'WID_raw'!X9</x:f>
        <x:v>34339</x:v>
      </x:c>
      <x:c r="F9" s="31" t="n">
        <x:f>'WID_raw'!Y9</x:f>
        <x:v>48087</x:v>
      </x:c>
      <x:c r="G9" s="31" t="n">
        <x:f>'WID_raw'!Z9</x:f>
        <x:v>127780.3</x:v>
      </x:c>
      <x:c r="H9" s="31" t="n">
        <x:f>B9*'WID_raw'!B9</x:f>
        <x:v>4673.272554588318</x:v>
      </x:c>
      <x:c r="I9" s="31" t="n">
        <x:f>C9*'WID_raw'!B9</x:f>
        <x:v>7528.401085376739</x:v>
      </x:c>
      <x:c r="J9" s="31" t="n">
        <x:f>D9*'WID_raw'!B9</x:f>
        <x:v>10849.42189489603</x:v>
      </x:c>
      <x:c r="K9" s="31" t="n">
        <x:f>E9*'WID_raw'!B9</x:f>
        <x:v>16316.44564950466</x:v>
      </x:c>
      <x:c r="L9" s="31" t="n">
        <x:f>F9*'WID_raw'!B9</x:f>
        <x:v>22848.915866732594</x:v>
      </x:c>
      <x:c r="M9" s="31" t="n">
        <x:f>G9*'WID_raw'!B9</x:f>
        <x:v>60715.81350730657</x:v>
      </x:c>
      <x:c r="N9" s="40" t="str">
        <x:f>'WID_raw'!AB9</x:f>
        <x:v>https://wid.world/bulk_download/WID_data_ES.csv</x:v>
      </x:c>
    </x:row>
    <x:row r="10">
      <x:c r="A10" s="25" t="n">
        <x:f>'WID_raw'!A10</x:f>
        <x:v>1995</x:v>
      </x:c>
      <x:c r="B10" s="31" t="n">
        <x:f>'WID_raw'!U10</x:f>
        <x:v>9695.3</x:v>
      </x:c>
      <x:c r="C10" s="31" t="n">
        <x:f>'WID_raw'!V10</x:f>
        <x:v>16120.9</x:v>
      </x:c>
      <x:c r="D10" s="31" t="n">
        <x:f>'WID_raw'!W10</x:f>
        <x:v>23172.9</x:v>
      </x:c>
      <x:c r="E10" s="31" t="n">
        <x:f>'WID_raw'!X10</x:f>
        <x:v>35417.6</x:v>
      </x:c>
      <x:c r="F10" s="31" t="n">
        <x:f>'WID_raw'!Y10</x:f>
        <x:v>48614</x:v>
      </x:c>
      <x:c r="G10" s="31" t="n">
        <x:f>'WID_raw'!Z10</x:f>
        <x:v>131214.1</x:v>
      </x:c>
      <x:c r="H10" s="31" t="n">
        <x:f>B10*'WID_raw'!B10</x:f>
        <x:v>4834.058724743128</x:v>
      </x:c>
      <x:c r="I10" s="31" t="n">
        <x:f>C10*'WID_raw'!B10</x:f>
        <x:v>8037.851051098108</x:v>
      </x:c>
      <x:c r="J10" s="31" t="n">
        <x:f>D10*'WID_raw'!B10</x:f>
        <x:v>11553.965263849497</x:v>
      </x:c>
      <x:c r="K10" s="31" t="n">
        <x:f>E10*'WID_raw'!B10</x:f>
        <x:v>17659.150133514402</x:v>
      </x:c>
      <x:c r="L10" s="31" t="n">
        <x:f>F10*'WID_raw'!B10</x:f>
        <x:v>24238.850870490074</x:v>
      </x:c>
      <x:c r="M10" s="31" t="n">
        <x:f>G10*'WID_raw'!B10</x:f>
        <x:v>65423.10861080289</x:v>
      </x:c>
      <x:c r="N10" s="40" t="str">
        <x:f>'WID_raw'!AB10</x:f>
        <x:v>https://wid.world/bulk_download/WID_data_ES.csv</x:v>
      </x:c>
    </x:row>
    <x:row r="11">
      <x:c r="A11" s="25" t="n">
        <x:f>'WID_raw'!A11</x:f>
        <x:v>1996</x:v>
      </x:c>
      <x:c r="B11" s="31" t="n">
        <x:f>'WID_raw'!U11</x:f>
        <x:v>10157.3</x:v>
      </x:c>
      <x:c r="C11" s="31" t="n">
        <x:f>'WID_raw'!V11</x:f>
        <x:v>16358.4</x:v>
      </x:c>
      <x:c r="D11" s="31" t="n">
        <x:f>'WID_raw'!W11</x:f>
        <x:v>23461.7</x:v>
      </x:c>
      <x:c r="E11" s="31" t="n">
        <x:f>'WID_raw'!X11</x:f>
        <x:v>35722.9</x:v>
      </x:c>
      <x:c r="F11" s="31" t="n">
        <x:f>'WID_raw'!Y11</x:f>
        <x:v>49166.60000000001</x:v>
      </x:c>
      <x:c r="G11" s="31" t="n">
        <x:f>'WID_raw'!Z11</x:f>
        <x:v>132161.6</x:v>
      </x:c>
      <x:c r="H11" s="31" t="n">
        <x:f>B11*'WID_raw'!B11</x:f>
        <x:v>5243.350282013416</x:v>
      </x:c>
      <x:c r="I11" s="31" t="n">
        <x:f>C11*'WID_raw'!B11</x:f>
        <x:v>8444.450912475586</x:v>
      </x:c>
      <x:c r="J11" s="31" t="n">
        <x:f>D11*'WID_raw'!B11</x:f>
        <x:v>12111.280685961246</x:v>
      </x:c>
      <x:c r="K11" s="31" t="n">
        <x:f>E11*'WID_raw'!B11</x:f>
        <x:v>18440.695636570454</x:v>
      </x:c>
      <x:c r="L11" s="31" t="n">
        <x:f>F11*'WID_raw'!B11</x:f>
        <x:v>25380.534785389907</x:v>
      </x:c>
      <x:c r="M11" s="31" t="n">
        <x:f>G11*'WID_raw'!B11</x:f>
        <x:v>68223.79595279694</x:v>
      </x:c>
      <x:c r="N11" s="40" t="str">
        <x:f>'WID_raw'!AB11</x:f>
        <x:v>https://wid.world/bulk_download/WID_data_ES.csv</x:v>
      </x:c>
    </x:row>
    <x:row r="12">
      <x:c r="A12" s="25" t="n">
        <x:f>'WID_raw'!A12</x:f>
        <x:v>1997</x:v>
      </x:c>
      <x:c r="B12" s="31" t="n">
        <x:f>'WID_raw'!U12</x:f>
        <x:v>10609.8</x:v>
      </x:c>
      <x:c r="C12" s="31" t="n">
        <x:f>'WID_raw'!V12</x:f>
        <x:v>17101.3</x:v>
      </x:c>
      <x:c r="D12" s="31" t="n">
        <x:f>'WID_raw'!W12</x:f>
        <x:v>24464</x:v>
      </x:c>
      <x:c r="E12" s="31" t="n">
        <x:f>'WID_raw'!X12</x:f>
        <x:v>36583.3</x:v>
      </x:c>
      <x:c r="F12" s="31" t="n">
        <x:f>'WID_raw'!Y12</x:f>
        <x:v>49360</x:v>
      </x:c>
      <x:c r="G12" s="31" t="n">
        <x:f>'WID_raw'!Z12</x:f>
        <x:v>130480.2</x:v>
      </x:c>
      <x:c r="H12" s="31" t="n">
        <x:f>B12*'WID_raw'!B12</x:f>
        <x:v>5611.944050967693</x:v>
      </x:c>
      <x:c r="I12" s="31" t="n">
        <x:f>C12*'WID_raw'!B12</x:f>
        <x:v>9045.555882185698</x:v>
      </x:c>
      <x:c r="J12" s="31" t="n">
        <x:f>D12*'WID_raw'!B12</x:f>
        <x:v>12939.979948997498</x:v>
      </x:c>
      <x:c r="K12" s="31" t="n">
        <x:f>E12*'WID_raw'!B12</x:f>
        <x:v>19350.35842332244</x:v>
      </x:c>
      <x:c r="L12" s="31" t="n">
        <x:f>F12*'WID_raw'!B12</x:f>
        <x:v>26108.461833000183</x:v>
      </x:c>
      <x:c r="M12" s="31" t="n">
        <x:f>G12*'WID_raw'!B12</x:f>
        <x:v>69016.15319412947</x:v>
      </x:c>
      <x:c r="N12" s="40" t="str">
        <x:f>'WID_raw'!AB12</x:f>
        <x:v>https://wid.world/bulk_download/WID_data_ES.csv</x:v>
      </x:c>
    </x:row>
    <x:row r="13">
      <x:c r="A13" s="25" t="n">
        <x:f>'WID_raw'!A13</x:f>
        <x:v>1998</x:v>
      </x:c>
      <x:c r="B13" s="31" t="n">
        <x:f>'WID_raw'!U13</x:f>
        <x:v>11056.5</x:v>
      </x:c>
      <x:c r="C13" s="31" t="n">
        <x:f>'WID_raw'!V13</x:f>
        <x:v>17371.1</x:v>
      </x:c>
      <x:c r="D13" s="31" t="n">
        <x:f>'WID_raw'!W13</x:f>
        <x:v>25334.8</x:v>
      </x:c>
      <x:c r="E13" s="31" t="n">
        <x:f>'WID_raw'!X13</x:f>
        <x:v>37591.8</x:v>
      </x:c>
      <x:c r="F13" s="31" t="n">
        <x:f>'WID_raw'!Y13</x:f>
        <x:v>51071.7</x:v>
      </x:c>
      <x:c r="G13" s="31" t="n">
        <x:f>'WID_raw'!Z13</x:f>
        <x:v>134401.6</x:v>
      </x:c>
      <x:c r="H13" s="31" t="n">
        <x:f>B13*'WID_raw'!B13</x:f>
        <x:v>6002.309210211039</x:v>
      </x:c>
      <x:c r="I13" s="31" t="n">
        <x:f>C13*'WID_raw'!B13</x:f>
        <x:v>9430.354408854246</x:v>
      </x:c>
      <x:c r="J13" s="31" t="n">
        <x:f>D13*'WID_raw'!B13</x:f>
        <x:v>13753.65652592182</x:v>
      </x:c>
      <x:c r="K13" s="31" t="n">
        <x:f>E13*'WID_raw'!B13</x:f>
        <x:v>20407.6884518981</x:v>
      </x:c>
      <x:c r="L13" s="31" t="n">
        <x:f>F13*'WID_raw'!B13</x:f>
        <x:v>27725.603517490625</x:v>
      </x:c>
      <x:c r="M13" s="31" t="n">
        <x:f>G13*'WID_raw'!B13</x:f>
        <x:v>72963.41170778275</x:v>
      </x:c>
      <x:c r="N13" s="40" t="str">
        <x:f>'WID_raw'!AB13</x:f>
        <x:v>https://wid.world/bulk_download/WID_data_ES.csv</x:v>
      </x:c>
    </x:row>
    <x:row r="14">
      <x:c r="A14" s="25" t="n">
        <x:f>'WID_raw'!A14</x:f>
        <x:v>1999</x:v>
      </x:c>
      <x:c r="B14" s="31" t="n">
        <x:f>'WID_raw'!U14</x:f>
        <x:v>11000.4</x:v>
      </x:c>
      <x:c r="C14" s="31" t="n">
        <x:f>'WID_raw'!V14</x:f>
        <x:v>17649</x:v>
      </x:c>
      <x:c r="D14" s="31" t="n">
        <x:f>'WID_raw'!W14</x:f>
        <x:v>25788.6</x:v>
      </x:c>
      <x:c r="E14" s="31" t="n">
        <x:f>'WID_raw'!X14</x:f>
        <x:v>38238.5</x:v>
      </x:c>
      <x:c r="F14" s="31" t="n">
        <x:f>'WID_raw'!Y14</x:f>
        <x:v>52148.2</x:v>
      </x:c>
      <x:c r="G14" s="31" t="n">
        <x:f>'WID_raw'!Z14</x:f>
        <x:v>138731.2</x:v>
      </x:c>
      <x:c r="H14" s="31" t="n">
        <x:f>B14*'WID_raw'!B14</x:f>
        <x:v>6128.232334828376</x:v>
      </x:c>
      <x:c r="I14" s="31" t="n">
        <x:f>C14*'WID_raw'!B14</x:f>
        <x:v>9832.112693846226</x:v>
      </x:c>
      <x:c r="J14" s="31" t="n">
        <x:f>D14*'WID_raw'!B14</x:f>
        <x:v>14366.616885745525</x:v>
      </x:c>
      <x:c r="K14" s="31" t="n">
        <x:f>E14*'WID_raw'!B14</x:f>
        <x:v>21302.353744894266</x:v>
      </x:c>
      <x:c r="L14" s="31" t="n">
        <x:f>F14*'WID_raw'!B14</x:f>
        <x:v>29051.3331736207</x:v>
      </x:c>
      <x:c r="M14" s="31" t="n">
        <x:f>G14*'WID_raw'!B14</x:f>
        <x:v>77286.01011686325</x:v>
      </x:c>
      <x:c r="N14" s="40" t="str">
        <x:f>'WID_raw'!AB14</x:f>
        <x:v>https://wid.world/bulk_download/WID_data_ES.csv</x:v>
      </x:c>
    </x:row>
    <x:row r="15">
      <x:c r="A15" s="25" t="n">
        <x:f>'WID_raw'!A15</x:f>
        <x:v>2000</x:v>
      </x:c>
      <x:c r="B15" s="31" t="n">
        <x:f>'WID_raw'!U15</x:f>
        <x:v>11853.9</x:v>
      </x:c>
      <x:c r="C15" s="31" t="n">
        <x:f>'WID_raw'!V15</x:f>
        <x:v>18624</x:v>
      </x:c>
      <x:c r="D15" s="31" t="n">
        <x:f>'WID_raw'!W15</x:f>
        <x:v>26768.1</x:v>
      </x:c>
      <x:c r="E15" s="31" t="n">
        <x:f>'WID_raw'!X15</x:f>
        <x:v>39827.3</x:v>
      </x:c>
      <x:c r="F15" s="31" t="n">
        <x:f>'WID_raw'!Y15</x:f>
        <x:v>53612.10000000001</x:v>
      </x:c>
      <x:c r="G15" s="31" t="n">
        <x:f>'WID_raw'!Z15</x:f>
        <x:v>142723.9</x:v>
      </x:c>
      <x:c r="H15" s="31" t="n">
        <x:f>B15*'WID_raw'!B15</x:f>
        <x:v>6829.0804445564745</x:v>
      </x:c>
      <x:c r="I15" s="31" t="n">
        <x:f>C15*'WID_raw'!B15</x:f>
        <x:v>10729.362842559814</x:v>
      </x:c>
      <x:c r="J15" s="31" t="n">
        <x:f>D15*'WID_raw'!B15</x:f>
        <x:v>15421.212280172109</x:v>
      </x:c>
      <x:c r="K15" s="31" t="n">
        <x:f>E15*'WID_raw'!B15</x:f>
        <x:v>22944.671001905204</x:v>
      </x:c>
      <x:c r="L15" s="31" t="n">
        <x:f>F15*'WID_raw'!B15</x:f>
        <x:v>30886.15086187721</x:v>
      </x:c>
      <x:c r="M15" s="31" t="n">
        <x:f>G15*'WID_raw'!B15</x:f>
        <x:v>82223.82460294366</x:v>
      </x:c>
      <x:c r="N15" s="40" t="str">
        <x:f>'WID_raw'!AB15</x:f>
        <x:v>https://wid.world/bulk_download/WID_data_ES.csv</x:v>
      </x:c>
    </x:row>
    <x:row r="16">
      <x:c r="A16" s="25" t="n">
        <x:f>'WID_raw'!A16</x:f>
        <x:v>2001</x:v>
      </x:c>
      <x:c r="B16" s="31" t="n">
        <x:f>'WID_raw'!U16</x:f>
        <x:v>12081.7</x:v>
      </x:c>
      <x:c r="C16" s="31" t="n">
        <x:f>'WID_raw'!V16</x:f>
        <x:v>19058.1</x:v>
      </x:c>
      <x:c r="D16" s="31" t="n">
        <x:f>'WID_raw'!W16</x:f>
        <x:v>27474.4</x:v>
      </x:c>
      <x:c r="E16" s="31" t="n">
        <x:f>'WID_raw'!X16</x:f>
        <x:v>40870.3</x:v>
      </x:c>
      <x:c r="F16" s="31" t="n">
        <x:f>'WID_raw'!Y16</x:f>
        <x:v>54987.2</x:v>
      </x:c>
      <x:c r="G16" s="31" t="n">
        <x:f>'WID_raw'!Z16</x:f>
        <x:v>142858.5</x:v>
      </x:c>
      <x:c r="H16" s="31" t="n">
        <x:f>B16*'WID_raw'!B16</x:f>
        <x:v>7250.025583159924</x:v>
      </x:c>
      <x:c r="I16" s="31" t="n">
        <x:f>C16*'WID_raw'!B16</x:f>
        <x:v>11436.44624236822</x:v>
      </x:c>
      <x:c r="J16" s="31" t="n">
        <x:f>D16*'WID_raw'!B16</x:f>
        <x:v>16486.926747226717</x:v>
      </x:c>
      <x:c r="K16" s="31" t="n">
        <x:f>E16*'WID_raw'!B16</x:f>
        <x:v>24525.581713783744</x:v>
      </x:c>
      <x:c r="L16" s="31" t="n">
        <x:f>F16*'WID_raw'!B16</x:f>
        <x:v>32996.896690559384</x:v>
      </x:c>
      <x:c r="M16" s="31" t="n">
        <x:f>G16*'WID_raw'!B16</x:f>
        <x:v>85726.99038809538</x:v>
      </x:c>
      <x:c r="N16" s="40" t="str">
        <x:f>'WID_raw'!AB16</x:f>
        <x:v>https://wid.world/bulk_download/WID_data_ES.csv</x:v>
      </x:c>
    </x:row>
    <x:row r="17">
      <x:c r="A17" s="25" t="n">
        <x:f>'WID_raw'!A17</x:f>
        <x:v>2002</x:v>
      </x:c>
      <x:c r="B17" s="31" t="n">
        <x:f>'WID_raw'!U17</x:f>
        <x:v>12416.1</x:v>
      </x:c>
      <x:c r="C17" s="31" t="n">
        <x:f>'WID_raw'!V17</x:f>
        <x:v>19503.7</x:v>
      </x:c>
      <x:c r="D17" s="31" t="n">
        <x:f>'WID_raw'!W17</x:f>
        <x:v>27907.7</x:v>
      </x:c>
      <x:c r="E17" s="31" t="n">
        <x:f>'WID_raw'!X17</x:f>
        <x:v>41021.8</x:v>
      </x:c>
      <x:c r="F17" s="31" t="n">
        <x:f>'WID_raw'!Y17</x:f>
        <x:v>54910.60000000001</x:v>
      </x:c>
      <x:c r="G17" s="31" t="n">
        <x:f>'WID_raw'!Z17</x:f>
        <x:v>146449.1</x:v>
      </x:c>
      <x:c r="H17" s="31" t="n">
        <x:f>B17*'WID_raw'!B17</x:f>
        <x:v>7755.553331297636</x:v>
      </x:c>
      <x:c r="I17" s="31" t="n">
        <x:f>C17*'WID_raw'!B17</x:f>
        <x:v>12182.729319804906</x:v>
      </x:c>
      <x:c r="J17" s="31" t="n">
        <x:f>D17*'WID_raw'!B17</x:f>
        <x:v>17432.177229875328</x:v>
      </x:c>
      <x:c r="K17" s="31" t="n">
        <x:f>E17*'WID_raw'!B17</x:f>
        <x:v>25623.727067744734</x:v>
      </x:c>
      <x:c r="L17" s="31" t="n">
        <x:f>F17*'WID_raw'!B17</x:f>
        <x:v>34299.1830569625</x:v>
      </x:c>
      <x:c r="M17" s="31" t="n">
        <x:f>G17*'WID_raw'!B17</x:f>
        <x:v>91477.50141916871</x:v>
      </x:c>
      <x:c r="N17" s="40" t="str">
        <x:f>'WID_raw'!AB17</x:f>
        <x:v>https://wid.world/bulk_download/WID_data_ES.csv</x:v>
      </x:c>
    </x:row>
    <x:row r="18">
      <x:c r="A18" s="25" t="n">
        <x:f>'WID_raw'!A18</x:f>
        <x:v>2003</x:v>
      </x:c>
      <x:c r="B18" s="31" t="n">
        <x:f>'WID_raw'!U18</x:f>
        <x:v>12592.7</x:v>
      </x:c>
      <x:c r="C18" s="31" t="n">
        <x:f>'WID_raw'!V18</x:f>
        <x:v>19729.6</x:v>
      </x:c>
      <x:c r="D18" s="31" t="n">
        <x:f>'WID_raw'!W18</x:f>
        <x:v>28068.4</x:v>
      </x:c>
      <x:c r="E18" s="31" t="n">
        <x:f>'WID_raw'!X18</x:f>
        <x:v>40967</x:v>
      </x:c>
      <x:c r="F18" s="31" t="n">
        <x:f>'WID_raw'!Y18</x:f>
        <x:v>55671.10000000001</x:v>
      </x:c>
      <x:c r="G18" s="31" t="n">
        <x:f>'WID_raw'!Z18</x:f>
        <x:v>148449.8</x:v>
      </x:c>
      <x:c r="H18" s="31" t="n">
        <x:f>B18*'WID_raw'!B18</x:f>
        <x:v>8180.81199656129</x:v>
      </x:c>
      <x:c r="I18" s="31" t="n">
        <x:f>C18*'WID_raw'!B18</x:f>
        <x:v>12817.27892885208</x:v>
      </x:c>
      <x:c r="J18" s="31" t="n">
        <x:f>D18*'WID_raw'!B18</x:f>
        <x:v>18234.55680229664</x:v>
      </x:c>
      <x:c r="K18" s="31" t="n">
        <x:f>E18*'WID_raw'!B18</x:f>
        <x:v>26614.09587007761</x:v>
      </x:c>
      <x:c r="L18" s="31" t="n">
        <x:f>F18*'WID_raw'!B18</x:f>
        <x:v>36166.57291460634</x:v>
      </x:c>
      <x:c r="M18" s="31" t="n">
        <x:f>G18*'WID_raw'!B18</x:f>
        <x:v>96439.99338721036</x:v>
      </x:c>
      <x:c r="N18" s="40" t="str">
        <x:f>'WID_raw'!AB18</x:f>
        <x:v>https://wid.world/bulk_download/WID_data_ES.csv</x:v>
      </x:c>
    </x:row>
    <x:row r="19">
      <x:c r="A19" s="25" t="n">
        <x:f>'WID_raw'!A19</x:f>
        <x:v>2004</x:v>
      </x:c>
      <x:c r="B19" s="31" t="n">
        <x:f>'WID_raw'!U19</x:f>
        <x:v>12734</x:v>
      </x:c>
      <x:c r="C19" s="31" t="n">
        <x:f>'WID_raw'!V19</x:f>
        <x:v>19774.1</x:v>
      </x:c>
      <x:c r="D19" s="31" t="n">
        <x:f>'WID_raw'!W19</x:f>
        <x:v>28243.9</x:v>
      </x:c>
      <x:c r="E19" s="31" t="n">
        <x:f>'WID_raw'!X19</x:f>
        <x:v>41458.2</x:v>
      </x:c>
      <x:c r="F19" s="31" t="n">
        <x:f>'WID_raw'!Y19</x:f>
        <x:v>55703.10000000001</x:v>
      </x:c>
      <x:c r="G19" s="31" t="n">
        <x:f>'WID_raw'!Z19</x:f>
        <x:v>148725.4</x:v>
      </x:c>
      <x:c r="H19" s="31" t="n">
        <x:f>B19*'WID_raw'!B19</x:f>
        <x:v>8596.2046033144</x:v>
      </x:c>
      <x:c r="I19" s="31" t="n">
        <x:f>C19*'WID_raw'!B19</x:f>
        <x:v>13348.689292162655</x:v>
      </x:c>
      <x:c r="J19" s="31" t="n">
        <x:f>D19*'WID_raw'!B19</x:f>
        <x:v>19066.306203514338</x:v>
      </x:c>
      <x:c r="K19" s="31" t="n">
        <x:f>E19*'WID_raw'!B19</x:f>
        <x:v>27986.741768896576</x:v>
      </x:c>
      <x:c r="L19" s="31" t="n">
        <x:f>F19*'WID_raw'!B19</x:f>
        <x:v>37602.89340654016</x:v>
      </x:c>
      <x:c r="M19" s="31" t="n">
        <x:f>G19*'WID_raw'!B19</x:f>
        <x:v>100398.45830923319</x:v>
      </x:c>
      <x:c r="N19" s="40" t="str">
        <x:f>'WID_raw'!AB19</x:f>
        <x:v>https://wid.world/bulk_download/WID_data_ES.csv</x:v>
      </x:c>
    </x:row>
    <x:row r="20">
      <x:c r="A20" s="25" t="n">
        <x:f>'WID_raw'!A20</x:f>
        <x:v>2005</x:v>
      </x:c>
      <x:c r="B20" s="31" t="n">
        <x:f>'WID_raw'!U20</x:f>
        <x:v>12818</x:v>
      </x:c>
      <x:c r="C20" s="31" t="n">
        <x:f>'WID_raw'!V20</x:f>
        <x:v>20187.6</x:v>
      </x:c>
      <x:c r="D20" s="31" t="n">
        <x:f>'WID_raw'!W20</x:f>
        <x:v>28968.1</x:v>
      </x:c>
      <x:c r="E20" s="31" t="n">
        <x:f>'WID_raw'!X20</x:f>
        <x:v>42237.60000000001</x:v>
      </x:c>
      <x:c r="F20" s="31" t="n">
        <x:f>'WID_raw'!Y20</x:f>
        <x:v>56141.5</x:v>
      </x:c>
      <x:c r="G20" s="31" t="n">
        <x:f>'WID_raw'!Z20</x:f>
        <x:v>148893.6</x:v>
      </x:c>
      <x:c r="H20" s="31" t="n">
        <x:f>B20*'WID_raw'!B20</x:f>
        <x:v>9017.44966340065</x:v>
      </x:c>
      <x:c r="I20" s="31" t="n">
        <x:f>C20*'WID_raw'!B20</x:f>
        <x:v>14201.955595636367</x:v>
      </x:c>
      <x:c r="J20" s="31" t="n">
        <x:f>D20*'WID_raw'!B20</x:f>
        <x:v>20379.028209888933</x:v>
      </x:c>
      <x:c r="K20" s="31" t="n">
        <x:f>E20*'WID_raw'!B20</x:f>
        <x:v>29714.1076535225</x:v>
      </x:c>
      <x:c r="L20" s="31" t="n">
        <x:f>F20*'WID_raw'!B20</x:f>
        <x:v>39495.48683708906</x:v>
      </x:c>
      <x:c r="M20" s="31" t="n">
        <x:f>G20*'WID_raw'!B20</x:f>
        <x:v>104746.49268236161</x:v>
      </x:c>
      <x:c r="N20" s="40" t="str">
        <x:f>'WID_raw'!AB20</x:f>
        <x:v>https://wid.world/bulk_download/WID_data_ES.csv</x:v>
      </x:c>
    </x:row>
    <x:row r="21">
      <x:c r="A21" s="25" t="n">
        <x:f>'WID_raw'!A21</x:f>
        <x:v>2006</x:v>
      </x:c>
      <x:c r="B21" s="31" t="n">
        <x:f>'WID_raw'!U21</x:f>
        <x:v>13110.4</x:v>
      </x:c>
      <x:c r="C21" s="31" t="n">
        <x:f>'WID_raw'!V21</x:f>
        <x:v>20309.8</x:v>
      </x:c>
      <x:c r="D21" s="31" t="n">
        <x:f>'WID_raw'!W21</x:f>
        <x:v>28496.4</x:v>
      </x:c>
      <x:c r="E21" s="31" t="n">
        <x:f>'WID_raw'!X21</x:f>
        <x:v>41925.4</x:v>
      </x:c>
      <x:c r="F21" s="31" t="n">
        <x:f>'WID_raw'!Y21</x:f>
        <x:v>56881.2</x:v>
      </x:c>
      <x:c r="G21" s="31" t="n">
        <x:f>'WID_raw'!Z21</x:f>
        <x:v>157758</x:v>
      </x:c>
      <x:c r="H21" s="31" t="n">
        <x:f>B21*'WID_raw'!B21</x:f>
        <x:v>9598.764751434326</x:v>
      </x:c>
      <x:c r="I21" s="31" t="n">
        <x:f>C21*'WID_raw'!B21</x:f>
        <x:v>14869.797439336777</x:v>
      </x:c>
      <x:c r="J21" s="31" t="n">
        <x:f>D21*'WID_raw'!B21</x:f>
        <x:v>20863.60750722885</x:v>
      </x:c>
      <x:c r="K21" s="31" t="n">
        <x:f>E21*'WID_raw'!B21</x:f>
        <x:v>30695.634893655777</x:v>
      </x:c>
      <x:c r="L21" s="31" t="n">
        <x:f>F21*'WID_raw'!B21</x:f>
        <x:v>41645.50719881058</x:v>
      </x:c>
      <x:c r="M21" s="31" t="n">
        <x:f>G21*'WID_raw'!B21</x:f>
        <x:v>115502.34391450882</x:v>
      </x:c>
      <x:c r="N21" s="40" t="str">
        <x:f>'WID_raw'!AB21</x:f>
        <x:v>https://wid.world/bulk_download/WID_data_ES.csv</x:v>
      </x:c>
    </x:row>
    <x:row r="22">
      <x:c r="A22" s="25" t="n">
        <x:f>'WID_raw'!A22</x:f>
        <x:v>2007</x:v>
      </x:c>
      <x:c r="B22" s="31" t="n">
        <x:f>'WID_raw'!U22</x:f>
        <x:v>13323.4</x:v>
      </x:c>
      <x:c r="C22" s="31" t="n">
        <x:f>'WID_raw'!V22</x:f>
        <x:v>20455</x:v>
      </x:c>
      <x:c r="D22" s="31" t="n">
        <x:f>'WID_raw'!W22</x:f>
        <x:v>28886</x:v>
      </x:c>
      <x:c r="E22" s="31" t="n">
        <x:f>'WID_raw'!X22</x:f>
        <x:v>42754.7</x:v>
      </x:c>
      <x:c r="F22" s="31" t="n">
        <x:f>'WID_raw'!Y22</x:f>
        <x:v>57569.9</x:v>
      </x:c>
      <x:c r="G22" s="31" t="n">
        <x:f>'WID_raw'!Z22</x:f>
        <x:v>157365.4</x:v>
      </x:c>
      <x:c r="H22" s="31" t="n">
        <x:f>B22*'WID_raw'!B22</x:f>
        <x:v>10102.098751103878</x:v>
      </x:c>
      <x:c r="I22" s="31" t="n">
        <x:f>C22*'WID_raw'!B22</x:f>
        <x:v>15509.436776936054</x:v>
      </x:c>
      <x:c r="J22" s="31" t="n">
        <x:f>D22*'WID_raw'!B22</x:f>
        <x:v>21902.00883591175</x:v>
      </x:c>
      <x:c r="K22" s="31" t="n">
        <x:f>E22*'WID_raw'!B22</x:f>
        <x:v>32417.5661973536</x:v>
      </x:c>
      <x:c r="L22" s="31" t="n">
        <x:f>F22*'WID_raw'!B22</x:f>
        <x:v>43650.780948644875</x:v>
      </x:c>
      <x:c r="M22" s="31" t="n">
        <x:f>G22*'WID_raw'!B22</x:f>
        <x:v>119317.95268527268</x:v>
      </x:c>
      <x:c r="N22" s="40" t="str">
        <x:f>'WID_raw'!AB22</x:f>
        <x:v>https://wid.world/bulk_download/WID_data_ES.csv</x:v>
      </x:c>
    </x:row>
    <x:row r="23">
      <x:c r="A23" s="25" t="n">
        <x:f>'WID_raw'!A23</x:f>
        <x:v>2008</x:v>
      </x:c>
      <x:c r="B23" s="31" t="n">
        <x:f>'WID_raw'!U23</x:f>
        <x:v>12863.3</x:v>
      </x:c>
      <x:c r="C23" s="31" t="n">
        <x:f>'WID_raw'!V23</x:f>
        <x:v>19940.6</x:v>
      </x:c>
      <x:c r="D23" s="31" t="n">
        <x:f>'WID_raw'!W23</x:f>
        <x:v>28248</x:v>
      </x:c>
      <x:c r="E23" s="31" t="n">
        <x:f>'WID_raw'!X23</x:f>
        <x:v>41536.10000000001</x:v>
      </x:c>
      <x:c r="F23" s="31" t="n">
        <x:f>'WID_raw'!Y23</x:f>
        <x:v>56377.10000000001</x:v>
      </x:c>
      <x:c r="G23" s="31" t="n">
        <x:f>'WID_raw'!Z23</x:f>
        <x:v>153772.4</x:v>
      </x:c>
      <x:c r="H23" s="31" t="n">
        <x:f>B23*'WID_raw'!B23</x:f>
        <x:v>9992.395152884721</x:v>
      </x:c>
      <x:c r="I23" s="31" t="n">
        <x:f>C23*'WID_raw'!B23</x:f>
        <x:v>15490.14287046194</x:v>
      </x:c>
      <x:c r="J23" s="31" t="n">
        <x:f>D23*'WID_raw'!B23</x:f>
        <x:v>21943.44983625412</x:v>
      </x:c>
      <x:c r="K23" s="31" t="n">
        <x:f>E23*'WID_raw'!B23</x:f>
        <x:v>32265.83569610716</x:v>
      </x:c>
      <x:c r="L23" s="31" t="n">
        <x:f>F23*'WID_raw'!B23</x:f>
        <x:v>43794.53645438553</x:v>
      </x:c>
      <x:c r="M23" s="31" t="n">
        <x:f>G23*'WID_raw'!B23</x:f>
        <x:v>119452.59648826122</x:v>
      </x:c>
      <x:c r="N23" s="40" t="str">
        <x:f>'WID_raw'!AB23</x:f>
        <x:v>https://wid.world/bulk_download/WID_data_ES.csv</x:v>
      </x:c>
    </x:row>
    <x:row r="24">
      <x:c r="A24" s="25" t="n">
        <x:f>'WID_raw'!A24</x:f>
        <x:v>2009</x:v>
      </x:c>
      <x:c r="B24" s="31" t="n">
        <x:f>'WID_raw'!U24</x:f>
        <x:v>12132.1</x:v>
      </x:c>
      <x:c r="C24" s="31" t="n">
        <x:f>'WID_raw'!V24</x:f>
        <x:v>18475</x:v>
      </x:c>
      <x:c r="D24" s="31" t="n">
        <x:f>'WID_raw'!W24</x:f>
        <x:v>26328</x:v>
      </x:c>
      <x:c r="E24" s="31" t="n">
        <x:f>'WID_raw'!X24</x:f>
        <x:v>38844.4</x:v>
      </x:c>
      <x:c r="F24" s="31" t="n">
        <x:f>'WID_raw'!Y24</x:f>
        <x:v>52792.5</x:v>
      </x:c>
      <x:c r="G24" s="31" t="n">
        <x:f>'WID_raw'!Z24</x:f>
        <x:v>150153.8</x:v>
      </x:c>
      <x:c r="H24" s="31" t="n">
        <x:f>B24*'WID_raw'!B24</x:f>
        <x:v>9446.182227128744</x:v>
      </x:c>
      <x:c r="I24" s="31" t="n">
        <x:f>C24*'WID_raw'!B24</x:f>
        <x:v>14384.83169823885</x:v>
      </x:c>
      <x:c r="J24" s="31" t="n">
        <x:f>D24*'WID_raw'!B24</x:f>
        <x:v>20499.261106967926</x:v>
      </x:c>
      <x:c r="K24" s="31" t="n">
        <x:f>E24*'WID_raw'!B24</x:f>
        <x:v>30244.663405632975</x:v>
      </x:c>
      <x:c r="L24" s="31" t="n">
        <x:f>F24*'WID_raw'!B24</x:f>
        <x:v>41104.802567213774</x:v>
      </x:c>
      <x:c r="M24" s="31" t="n">
        <x:f>G24*'WID_raw'!B24</x:f>
        <x:v>116911.3473261714</x:v>
      </x:c>
      <x:c r="N24" s="40" t="str">
        <x:f>'WID_raw'!AB24</x:f>
        <x:v>https://wid.world/bulk_download/WID_data_ES.csv</x:v>
      </x:c>
    </x:row>
    <x:row r="25">
      <x:c r="A25" s="25" t="n">
        <x:f>'WID_raw'!A25</x:f>
        <x:v>2010</x:v>
      </x:c>
      <x:c r="B25" s="31" t="n">
        <x:f>'WID_raw'!U25</x:f>
        <x:v>12331.7</x:v>
      </x:c>
      <x:c r="C25" s="31" t="n">
        <x:f>'WID_raw'!V25</x:f>
        <x:v>19135.1</x:v>
      </x:c>
      <x:c r="D25" s="31" t="n">
        <x:f>'WID_raw'!W25</x:f>
        <x:v>27303.8</x:v>
      </x:c>
      <x:c r="E25" s="31" t="n">
        <x:f>'WID_raw'!X25</x:f>
        <x:v>39670.5</x:v>
      </x:c>
      <x:c r="F25" s="31" t="n">
        <x:f>'WID_raw'!Y25</x:f>
        <x:v>53200</x:v>
      </x:c>
      <x:c r="G25" s="31" t="n">
        <x:f>'WID_raw'!Z25</x:f>
        <x:v>143356</x:v>
      </x:c>
      <x:c r="H25" s="31" t="n">
        <x:f>B25*'WID_raw'!B25</x:f>
        <x:v>9629.713559800388</x:v>
      </x:c>
      <x:c r="I25" s="31" t="n">
        <x:f>C25*'WID_raw'!B25</x:f>
        <x:v>14942.42739753127</x:v>
      </x:c>
      <x:c r="J25" s="31" t="n">
        <x:f>D25*'WID_raw'!B25</x:f>
        <x:v>21321.29171923399</x:v>
      </x:c>
      <x:c r="K25" s="31" t="n">
        <x:f>E25*'WID_raw'!B25</x:f>
        <x:v>30978.336464077234</x:v>
      </x:c>
      <x:c r="L25" s="31" t="n">
        <x:f>F25*'WID_raw'!B25</x:f>
        <x:v>41543.40126514435</x:v>
      </x:c>
      <x:c r="M25" s="31" t="n">
        <x:f>G25*'WID_raw'!B25</x:f>
        <x:v>111945.41037154198</x:v>
      </x:c>
      <x:c r="N25" s="40" t="str">
        <x:f>'WID_raw'!AB25</x:f>
        <x:v>https://wid.world/bulk_download/WID_data_ES.csv</x:v>
      </x:c>
    </x:row>
    <x:row r="26">
      <x:c r="A26" s="25" t="n">
        <x:f>'WID_raw'!A26</x:f>
        <x:v>2011</x:v>
      </x:c>
      <x:c r="B26" s="31" t="n">
        <x:f>'WID_raw'!U26</x:f>
        <x:v>12050.6</x:v>
      </x:c>
      <x:c r="C26" s="31" t="n">
        <x:f>'WID_raw'!V26</x:f>
        <x:v>19097.6</x:v>
      </x:c>
      <x:c r="D26" s="31" t="n">
        <x:f>'WID_raw'!W26</x:f>
        <x:v>27152.1</x:v>
      </x:c>
      <x:c r="E26" s="31" t="n">
        <x:f>'WID_raw'!X26</x:f>
        <x:v>39543.4</x:v>
      </x:c>
      <x:c r="F26" s="31" t="n">
        <x:f>'WID_raw'!Y26</x:f>
        <x:v>52363.7</x:v>
      </x:c>
      <x:c r="G26" s="31" t="n">
        <x:f>'WID_raw'!Z26</x:f>
        <x:v>141475.4</x:v>
      </x:c>
      <x:c r="H26" s="31" t="n">
        <x:f>B26*'WID_raw'!B26</x:f>
        <x:v>9396.466715931892</x:v>
      </x:c>
      <x:c r="I26" s="31" t="n">
        <x:f>C26*'WID_raw'!B26</x:f>
        <x:v>14891.371612548826</x:v>
      </x:c>
      <x:c r="J26" s="31" t="n">
        <x:f>D26*'WID_raw'!B26</x:f>
        <x:v>21171.875584423542</x:v>
      </x:c>
      <x:c r="K26" s="31" t="n">
        <x:f>E26*'WID_raw'!B26</x:f>
        <x:v>30834.00344669819</x:v>
      </x:c>
      <x:c r="L26" s="31" t="n">
        <x:f>F26*'WID_raw'!B26</x:f>
        <x:v>40830.64446359873</x:v>
      </x:c>
      <x:c r="M26" s="31" t="n">
        <x:f>G26*'WID_raw'!B26</x:f>
        <x:v>110315.57658731937</x:v>
      </x:c>
      <x:c r="N26" s="40" t="str">
        <x:f>'WID_raw'!AB26</x:f>
        <x:v>https://wid.world/bulk_download/WID_data_ES.csv</x:v>
      </x:c>
    </x:row>
    <x:row r="27">
      <x:c r="A27" s="25" t="n">
        <x:f>'WID_raw'!A27</x:f>
        <x:v>2012</x:v>
      </x:c>
      <x:c r="B27" s="31" t="n">
        <x:f>'WID_raw'!U27</x:f>
        <x:v>11848.2</x:v>
      </x:c>
      <x:c r="C27" s="31" t="n">
        <x:f>'WID_raw'!V27</x:f>
        <x:v>18795.3</x:v>
      </x:c>
      <x:c r="D27" s="31" t="n">
        <x:f>'WID_raw'!W27</x:f>
        <x:v>26505.9</x:v>
      </x:c>
      <x:c r="E27" s="31" t="n">
        <x:f>'WID_raw'!X27</x:f>
        <x:v>37373.7</x:v>
      </x:c>
      <x:c r="F27" s="31" t="n">
        <x:f>'WID_raw'!Y27</x:f>
        <x:v>49095.2</x:v>
      </x:c>
      <x:c r="G27" s="31" t="n">
        <x:f>'WID_raw'!Z27</x:f>
        <x:v>141683.9</x:v>
      </x:c>
      <x:c r="H27" s="31" t="n">
        <x:f>B27*'WID_raw'!B27</x:f>
        <x:v>9219.89742783308</x:v>
      </x:c>
      <x:c r="I27" s="31" t="n">
        <x:f>C27*'WID_raw'!B27</x:f>
        <x:v>14625.912638658285</x:v>
      </x:c>
      <x:c r="J27" s="31" t="n">
        <x:f>D27*'WID_raw'!B27</x:f>
        <x:v>20626.059589844943</x:v>
      </x:c>
      <x:c r="K27" s="31" t="n">
        <x:f>E27*'WID_raw'!B27</x:f>
        <x:v>29083.040503925084</x:v>
      </x:c>
      <x:c r="L27" s="31" t="n">
        <x:f>F27*'WID_raw'!B27</x:f>
        <x:v>38204.34396777153</x:v>
      </x:c>
      <x:c r="M27" s="31" t="n">
        <x:f>G27*'WID_raw'!B27</x:f>
        <x:v>110253.96475206017</x:v>
      </x:c>
      <x:c r="N27" s="40" t="str">
        <x:f>'WID_raw'!AB27</x:f>
        <x:v>https://wid.world/bulk_download/WID_data_ES.csv</x:v>
      </x:c>
    </x:row>
    <x:row r="28">
      <x:c r="A28" s="25" t="n">
        <x:f>'WID_raw'!A28</x:f>
        <x:v>2013</x:v>
      </x:c>
      <x:c r="B28" s="31" t="n">
        <x:f>'WID_raw'!U28</x:f>
        <x:v>11454.9</x:v>
      </x:c>
      <x:c r="C28" s="31" t="n">
        <x:f>'WID_raw'!V28</x:f>
        <x:v>18604</x:v>
      </x:c>
      <x:c r="D28" s="31" t="n">
        <x:f>'WID_raw'!W28</x:f>
        <x:v>26284.9</x:v>
      </x:c>
      <x:c r="E28" s="31" t="n">
        <x:f>'WID_raw'!X28</x:f>
        <x:v>37605</x:v>
      </x:c>
      <x:c r="F28" s="31" t="n">
        <x:f>'WID_raw'!Y28</x:f>
        <x:v>49162.10000000001</x:v>
      </x:c>
      <x:c r="G28" s="31" t="n">
        <x:f>'WID_raw'!Z28</x:f>
        <x:v>141066.5</x:v>
      </x:c>
      <x:c r="H28" s="31" t="n">
        <x:f>B28*'WID_raw'!B28</x:f>
        <x:v>8952.90129597187</x:v>
      </x:c>
      <x:c r="I28" s="31" t="n">
        <x:f>C28*'WID_raw'!B28</x:f>
        <x:v>14540.482737541199</x:v>
      </x:c>
      <x:c r="J28" s="31" t="n">
        <x:f>D28*'WID_raw'!B28</x:f>
        <x:v>20543.707520318032</x:v>
      </x:c>
      <x:c r="K28" s="31" t="n">
        <x:f>E28*'WID_raw'!B28</x:f>
        <x:v>29391.252061128616</x:v>
      </x:c>
      <x:c r="L28" s="31" t="n">
        <x:f>F28*'WID_raw'!B28</x:f>
        <x:v>38424.03065960408</x:v>
      </x:c>
      <x:c r="M28" s="31" t="n">
        <x:f>G28*'WID_raw'!B28</x:f>
        <x:v>110254.51559317112</x:v>
      </x:c>
      <x:c r="N28" s="40" t="str">
        <x:f>'WID_raw'!AB28</x:f>
        <x:v>https://wid.world/bulk_download/WID_data_ES.csv</x:v>
      </x:c>
    </x:row>
    <x:row r="29">
      <x:c r="A29" s="25" t="n">
        <x:f>'WID_raw'!A29</x:f>
        <x:v>2014</x:v>
      </x:c>
      <x:c r="B29" s="31" t="n">
        <x:f>'WID_raw'!U29</x:f>
        <x:v>11598.6</x:v>
      </x:c>
      <x:c r="C29" s="31" t="n">
        <x:f>'WID_raw'!V29</x:f>
        <x:v>18985.6</x:v>
      </x:c>
      <x:c r="D29" s="31" t="n">
        <x:f>'WID_raw'!W29</x:f>
        <x:v>26617.3</x:v>
      </x:c>
      <x:c r="E29" s="31" t="n">
        <x:f>'WID_raw'!X29</x:f>
        <x:v>38391.9</x:v>
      </x:c>
      <x:c r="F29" s="31" t="n">
        <x:f>'WID_raw'!Y29</x:f>
        <x:v>50165.3</x:v>
      </x:c>
      <x:c r="G29" s="31" t="n">
        <x:f>'WID_raw'!Z29</x:f>
        <x:v>145259.5</x:v>
      </x:c>
      <x:c r="H29" s="31" t="n">
        <x:f>B29*'WID_raw'!B29</x:f>
        <x:v>9045.20976061821</x:v>
      </x:c>
      <x:c r="I29" s="31" t="n">
        <x:f>C29*'WID_raw'!B29</x:f>
        <x:v>14805.988173675536</x:v>
      </x:c>
      <x:c r="J29" s="31" t="n">
        <x:f>D29*'WID_raw'!B29</x:f>
        <x:v>20757.596758341788</x:v>
      </x:c>
      <x:c r="K29" s="31" t="n">
        <x:f>E29*'WID_raw'!B29</x:f>
        <x:v>29940.06074945927</x:v>
      </x:c>
      <x:c r="L29" s="31" t="n">
        <x:f>F29*'WID_raw'!B29</x:f>
        <x:v>39121.58891627789</x:v>
      </x:c>
      <x:c r="M29" s="31" t="n">
        <x:f>G29*'WID_raw'!B29</x:f>
        <x:v>113281.1414500475</x:v>
      </x:c>
      <x:c r="N29" s="40" t="str">
        <x:f>'WID_raw'!AB29</x:f>
        <x:v>https://wid.world/bulk_download/WID_data_ES.csv</x:v>
      </x:c>
    </x:row>
    <x:row r="30">
      <x:c r="A30" s="25" t="n">
        <x:f>'WID_raw'!A30</x:f>
        <x:v>2015</x:v>
      </x:c>
      <x:c r="B30" s="31" t="n">
        <x:f>'WID_raw'!U30</x:f>
        <x:v>12117</x:v>
      </x:c>
      <x:c r="C30" s="31" t="n">
        <x:f>'WID_raw'!V30</x:f>
        <x:v>19781.6</x:v>
      </x:c>
      <x:c r="D30" s="31" t="n">
        <x:f>'WID_raw'!W30</x:f>
        <x:v>27932.6</x:v>
      </x:c>
      <x:c r="E30" s="31" t="n">
        <x:f>'WID_raw'!X30</x:f>
        <x:v>40042.4</x:v>
      </x:c>
      <x:c r="F30" s="31" t="n">
        <x:f>'WID_raw'!Y30</x:f>
        <x:v>52729</x:v>
      </x:c>
      <x:c r="G30" s="31" t="n">
        <x:f>'WID_raw'!Z30</x:f>
        <x:v>152807.4</x:v>
      </x:c>
      <x:c r="H30" s="31" t="n">
        <x:f>B30*'WID_raw'!B30</x:f>
        <x:v>9501.685715675354</x:v>
      </x:c>
      <x:c r="I30" s="31" t="n">
        <x:f>C30*'WID_raw'!B30</x:f>
        <x:v>15511.970467376708</x:v>
      </x:c>
      <x:c r="J30" s="31" t="n">
        <x:f>D30*'WID_raw'!B30</x:f>
        <x:v>21903.6714056015</x:v>
      </x:c>
      <x:c r="K30" s="31" t="n">
        <x:f>E30*'WID_raw'!B30</x:f>
        <x:v>31399.711157989503</x:v>
      </x:c>
      <x:c r="L30" s="31" t="n">
        <x:f>F30*'WID_raw'!B30</x:f>
        <x:v>41348.055302619934</x:v>
      </x:c>
      <x:c r="M30" s="31" t="n">
        <x:f>G30*'WID_raw'!B30</x:f>
        <x:v>119825.6903383255</x:v>
      </x:c>
      <x:c r="N30" s="40" t="str">
        <x:f>'WID_raw'!AB30</x:f>
        <x:v>https://wid.world/bulk_download/WID_data_ES.csv</x:v>
      </x:c>
    </x:row>
    <x:row r="31">
      <x:c r="A31" s="25" t="n">
        <x:f>'WID_raw'!A31</x:f>
        <x:v>2016</x:v>
      </x:c>
      <x:c r="B31" s="31" t="n">
        <x:f>'WID_raw'!U31</x:f>
        <x:v>12342.9</x:v>
      </x:c>
      <x:c r="C31" s="31" t="n">
        <x:f>'WID_raw'!V31</x:f>
        <x:v>20240.3</x:v>
      </x:c>
      <x:c r="D31" s="31" t="n">
        <x:f>'WID_raw'!W31</x:f>
        <x:v>28956.6</x:v>
      </x:c>
      <x:c r="E31" s="31" t="n">
        <x:f>'WID_raw'!X31</x:f>
        <x:v>41516.8</x:v>
      </x:c>
      <x:c r="F31" s="31" t="n">
        <x:f>'WID_raw'!Y31</x:f>
        <x:v>53921.5</x:v>
      </x:c>
      <x:c r="G31" s="31" t="n">
        <x:f>'WID_raw'!Z31</x:f>
        <x:v>155661.6</x:v>
      </x:c>
      <x:c r="H31" s="31" t="n">
        <x:f>B31*'WID_raw'!B31</x:f>
        <x:v>9714.851814544201</x:v>
      </x:c>
      <x:c r="I31" s="31" t="n">
        <x:f>C31*'WID_raw'!B31</x:f>
        <x:v>15930.738739025592</x:v>
      </x:c>
      <x:c r="J31" s="31" t="n">
        <x:f>D31*'WID_raw'!B31</x:f>
        <x:v>22791.165613675115</x:v>
      </x:c>
      <x:c r="K31" s="31" t="n">
        <x:f>E31*'WID_raw'!B31</x:f>
        <x:v>32677.049948883057</x:v>
      </x:c>
      <x:c r="L31" s="31" t="n">
        <x:f>F31*'WID_raw'!B31</x:f>
        <x:v>42440.543317854404</x:v>
      </x:c>
      <x:c r="M31" s="31" t="n">
        <x:f>G31*'WID_raw'!B31</x:f>
        <x:v>122518.15839185716</x:v>
      </x:c>
      <x:c r="N31" s="40" t="str">
        <x:f>'WID_raw'!AB31</x:f>
        <x:v>https://wid.world/bulk_download/WID_data_ES.csv</x:v>
      </x:c>
    </x:row>
    <x:row r="32">
      <x:c r="A32" s="25" t="n">
        <x:f>'WID_raw'!A32</x:f>
        <x:v>2017</x:v>
      </x:c>
      <x:c r="B32" s="31" t="n">
        <x:f>'WID_raw'!U32</x:f>
        <x:v>13438</x:v>
      </x:c>
      <x:c r="C32" s="31" t="n">
        <x:f>'WID_raw'!V32</x:f>
        <x:v>20761.5</x:v>
      </x:c>
      <x:c r="D32" s="31" t="n">
        <x:f>'WID_raw'!W32</x:f>
        <x:v>29369.8</x:v>
      </x:c>
      <x:c r="E32" s="31" t="n">
        <x:f>'WID_raw'!X32</x:f>
        <x:v>42335.4</x:v>
      </x:c>
      <x:c r="F32" s="31" t="n">
        <x:f>'WID_raw'!Y32</x:f>
        <x:v>55359.60000000001</x:v>
      </x:c>
      <x:c r="G32" s="31" t="n">
        <x:f>'WID_raw'!Z32</x:f>
        <x:v>158022.5</x:v>
      </x:c>
      <x:c r="H32" s="31" t="n">
        <x:f>B32*'WID_raw'!B32</x:f>
        <x:v>10709.835976481438</x:v>
      </x:c>
      <x:c r="I32" s="31" t="n">
        <x:f>C32*'WID_raw'!B32</x:f>
        <x:v>16546.52921757102</x:v>
      </x:c>
      <x:c r="J32" s="31" t="n">
        <x:f>D32*'WID_raw'!B32</x:f>
        <x:v>23407.184154045583</x:v>
      </x:c>
      <x:c r="K32" s="31" t="n">
        <x:f>E32*'WID_raw'!B32</x:f>
        <x:v>33740.526119863986</x:v>
      </x:c>
      <x:c r="L32" s="31" t="n">
        <x:f>F32*'WID_raw'!B32</x:f>
        <x:v>44120.57119538785</x:v>
      </x:c>
      <x:c r="M32" s="31" t="n">
        <x:f>G32*'WID_raw'!B32</x:f>
        <x:v>125940.99237933755</x:v>
      </x:c>
      <x:c r="N32" s="40" t="str">
        <x:f>'WID_raw'!AB32</x:f>
        <x:v>https://wid.world/bulk_download/WID_data_ES.csv</x:v>
      </x:c>
    </x:row>
    <x:row r="33">
      <x:c r="A33" s="25" t="n">
        <x:f>'WID_raw'!A33</x:f>
        <x:v>2018</x:v>
      </x:c>
      <x:c r="B33" s="31" t="n">
        <x:f>'WID_raw'!U33</x:f>
        <x:v>14269.3</x:v>
      </x:c>
      <x:c r="C33" s="31" t="n">
        <x:f>'WID_raw'!V33</x:f>
        <x:v>21490</x:v>
      </x:c>
      <x:c r="D33" s="31" t="n">
        <x:f>'WID_raw'!W33</x:f>
        <x:v>30288.6</x:v>
      </x:c>
      <x:c r="E33" s="31" t="n">
        <x:f>'WID_raw'!X33</x:f>
        <x:v>42795.5</x:v>
      </x:c>
      <x:c r="F33" s="31" t="n">
        <x:f>'WID_raw'!Y33</x:f>
        <x:v>55987.60000000001</x:v>
      </x:c>
      <x:c r="G33" s="31" t="n">
        <x:f>'WID_raw'!Z33</x:f>
        <x:v>159552.4</x:v>
      </x:c>
      <x:c r="H33" s="31" t="n">
        <x:f>B33*'WID_raw'!B33</x:f>
        <x:v>11507.397169804572</x:v>
      </x:c>
      <x:c r="I33" s="31" t="n">
        <x:f>C33*'WID_raw'!B33</x:f>
        <x:v>17330.490295886993</x:v>
      </x:c>
      <x:c r="J33" s="31" t="n">
        <x:f>D33*'WID_raw'!B33</x:f>
        <x:v>24426.072051000592</x:v>
      </x:c>
      <x:c r="K33" s="31" t="n">
        <x:f>E33*'WID_raw'!B33</x:f>
        <x:v>34512.191598773</x:v>
      </x:c>
      <x:c r="L33" s="31" t="n">
        <x:f>F33*'WID_raw'!B33</x:f>
        <x:v>45150.88685388566</x:v>
      </x:c>
      <x:c r="M33" s="31" t="n">
        <x:f>G33*'WID_raw'!B33</x:f>
        <x:v>128670.14052515029</x:v>
      </x:c>
      <x:c r="N33" s="40" t="str">
        <x:f>'WID_raw'!AB33</x:f>
        <x:v>https://wid.world/bulk_download/WID_data_ES.csv</x:v>
      </x:c>
    </x:row>
    <x:row r="34">
      <x:c r="A34" s="25" t="n">
        <x:f>'WID_raw'!A34</x:f>
        <x:v>2019</x:v>
      </x:c>
      <x:c r="B34" s="31" t="n">
        <x:f>'WID_raw'!U34</x:f>
        <x:v>14444.3</x:v>
      </x:c>
      <x:c r="C34" s="31" t="n">
        <x:f>'WID_raw'!V34</x:f>
        <x:v>21713.1</x:v>
      </x:c>
      <x:c r="D34" s="31" t="n">
        <x:f>'WID_raw'!W34</x:f>
        <x:v>30510.2</x:v>
      </x:c>
      <x:c r="E34" s="31" t="n">
        <x:f>'WID_raw'!X34</x:f>
        <x:v>43538.5</x:v>
      </x:c>
      <x:c r="F34" s="31" t="n">
        <x:f>'WID_raw'!Y34</x:f>
        <x:v>56122.5</x:v>
      </x:c>
      <x:c r="G34" s="31" t="n">
        <x:f>'WID_raw'!Z34</x:f>
        <x:v>158913.9</x:v>
      </x:c>
      <x:c r="H34" s="31" t="n">
        <x:f>B34*'WID_raw'!B34</x:f>
        <x:v>11814.941762930153</x:v>
      </x:c>
      <x:c r="I34" s="31" t="n">
        <x:f>C34*'WID_raw'!B34</x:f>
        <x:v>17760.570743662116</x:v>
      </x:c>
      <x:c r="J34" s="31" t="n">
        <x:f>D34*'WID_raw'!B34</x:f>
        <x:v>24956.296682798864</x:v>
      </x:c>
      <x:c r="K34" s="31" t="n">
        <x:f>E34*'WID_raw'!B34</x:f>
        <x:v>35612.999033898115</x:v>
      </x:c>
      <x:c r="L34" s="31" t="n">
        <x:f>F34*'WID_raw'!B34</x:f>
        <x:v>45906.27923056483</x:v>
      </x:c>
      <x:c r="M34" s="31" t="n">
        <x:f>G34*'WID_raw'!B34</x:f>
        <x:v>129986.11727948784</x:v>
      </x:c>
      <x:c r="N34" s="40" t="str">
        <x:f>'WID_raw'!AB34</x:f>
        <x:v>https://wid.world/bulk_download/WID_data_ES.csv</x:v>
      </x:c>
    </x:row>
    <x:row r="35">
      <x:c r="A35" s="25" t="n">
        <x:f>'WID_raw'!A35</x:f>
        <x:v>2020</x:v>
      </x:c>
      <x:c r="B35" s="31" t="n">
        <x:f>'WID_raw'!U35</x:f>
        <x:v>12556.5</x:v>
      </x:c>
      <x:c r="C35" s="31" t="n">
        <x:f>'WID_raw'!V35</x:f>
        <x:v>18874.6</x:v>
      </x:c>
      <x:c r="D35" s="31" t="n">
        <x:f>'WID_raw'!W35</x:f>
        <x:v>26521.7</x:v>
      </x:c>
      <x:c r="E35" s="31" t="n">
        <x:f>'WID_raw'!X35</x:f>
        <x:v>37846.8</x:v>
      </x:c>
      <x:c r="F35" s="31" t="n">
        <x:f>'WID_raw'!Y35</x:f>
        <x:v>48785.8</x:v>
      </x:c>
      <x:c r="G35" s="31" t="n">
        <x:f>'WID_raw'!Z35</x:f>
        <x:v>138139.6</x:v>
      </x:c>
      <x:c r="H35" s="31" t="n">
        <x:f>B35*'WID_raw'!B35</x:f>
        <x:v>10387.247918486595</x:v>
      </x:c>
      <x:c r="I35" s="31" t="n">
        <x:f>C35*'WID_raw'!B35</x:f>
        <x:v>15613.837419843672</x:v>
      </x:c>
      <x:c r="J35" s="31" t="n">
        <x:f>D35*'WID_raw'!B35</x:f>
        <x:v>21939.829818797112</x:v>
      </x:c>
      <x:c r="K35" s="31" t="n">
        <x:f>E35*'WID_raw'!B35</x:f>
        <x:v>31308.413532543185</x:v>
      </x:c>
      <x:c r="L35" s="31" t="n">
        <x:f>F35*'WID_raw'!B35</x:f>
        <x:v>40357.599609899524</x:v>
      </x:c>
      <x:c r="M35" s="31" t="n">
        <x:f>G35*'WID_raw'!B35</x:f>
        <x:v>114274.70016012192</x:v>
      </x:c>
      <x:c r="N35" s="40" t="str">
        <x:f>'WID_raw'!AB35</x:f>
        <x:v>https://wid.world/bulk_download/WID_data_ES.csv</x:v>
      </x:c>
    </x:row>
    <x:row r="36">
      <x:c r="A36" s="25" t="n">
        <x:f>'WID_raw'!A36</x:f>
        <x:v>2021</x:v>
      </x:c>
      <x:c r="B36" s="31" t="n">
        <x:f>'WID_raw'!U36</x:f>
        <x:v>13502.7</x:v>
      </x:c>
      <x:c r="C36" s="31" t="n">
        <x:f>'WID_raw'!V36</x:f>
        <x:v>20429.9</x:v>
      </x:c>
      <x:c r="D36" s="31" t="n">
        <x:f>'WID_raw'!W36</x:f>
        <x:v>28614</x:v>
      </x:c>
      <x:c r="E36" s="31" t="n">
        <x:f>'WID_raw'!X36</x:f>
        <x:v>40563</x:v>
      </x:c>
      <x:c r="F36" s="31" t="n">
        <x:f>'WID_raw'!Y36</x:f>
        <x:v>52483.8</x:v>
      </x:c>
      <x:c r="G36" s="31" t="n">
        <x:f>'WID_raw'!Z36</x:f>
        <x:v>148895.2</x:v>
      </x:c>
      <x:c r="H36" s="31" t="n">
        <x:f>B36*'WID_raw'!B36</x:f>
        <x:v>11455.500697839261</x:v>
      </x:c>
      <x:c r="I36" s="31" t="n">
        <x:f>C36*'WID_raw'!B36</x:f>
        <x:v>17332.43971256018</x:v>
      </x:c>
      <x:c r="J36" s="31" t="n">
        <x:f>D36*'WID_raw'!B36</x:f>
        <x:v>24275.715002775192</x:v>
      </x:c>
      <x:c r="K36" s="31" t="n">
        <x:f>E36*'WID_raw'!B36</x:f>
        <x:v>34413.07848107815</x:v>
      </x:c>
      <x:c r="L36" s="31" t="n">
        <x:f>F36*'WID_raw'!B36</x:f>
        <x:v>44526.51747615338</x:v>
      </x:c>
      <x:c r="M36" s="31" t="n">
        <x:f>G36*'WID_raw'!B36</x:f>
        <x:v>126320.59273366928</x:v>
      </x:c>
      <x:c r="N36" s="40" t="str">
        <x:f>'WID_raw'!AB36</x:f>
        <x:v>https://wid.world/bulk_download/WID_data_ES.csv</x:v>
      </x:c>
    </x:row>
    <x:row r="37">
      <x:c r="A37" s="25" t="n">
        <x:f>'WID_raw'!A37</x:f>
        <x:v>2022</x:v>
      </x:c>
      <x:c r="B37" s="31" t="n">
        <x:f>'WID_raw'!U37</x:f>
        <x:v>14129.4</x:v>
      </x:c>
      <x:c r="C37" s="31" t="n">
        <x:f>'WID_raw'!V37</x:f>
        <x:v>21845.4</x:v>
      </x:c>
      <x:c r="D37" s="31" t="n">
        <x:f>'WID_raw'!W37</x:f>
        <x:v>30307.5</x:v>
      </x:c>
      <x:c r="E37" s="31" t="n">
        <x:f>'WID_raw'!X37</x:f>
        <x:v>42177.10000000001</x:v>
      </x:c>
      <x:c r="F37" s="31" t="n">
        <x:f>'WID_raw'!Y37</x:f>
        <x:v>54948</x:v>
      </x:c>
      <x:c r="G37" s="31" t="n">
        <x:f>'WID_raw'!Z37</x:f>
        <x:v>156423</x:v>
      </x:c>
      <x:c r="H37" s="31" t="n">
        <x:f>B37*'WID_raw'!B37</x:f>
        <x:v>12552.00674868822</x:v>
      </x:c>
      <x:c r="I37" s="31" t="n">
        <x:f>C37*'WID_raw'!B37</x:f>
        <x:v>19406.599588644505</x:v>
      </x:c>
      <x:c r="J37" s="31" t="n">
        <x:f>D37*'WID_raw'!B37</x:f>
        <x:v>26923.998509198427</x:v>
      </x:c>
      <x:c r="K37" s="31" t="n">
        <x:f>E37*'WID_raw'!B37</x:f>
        <x:v>37468.487256366025</x:v>
      </x:c>
      <x:c r="L37" s="31" t="n">
        <x:f>F37*'WID_raw'!B37</x:f>
        <x:v>48813.65569853783</x:v>
      </x:c>
      <x:c r="M37" s="31" t="n">
        <x:f>G37*'WID_raw'!B37</x:f>
        <x:v>138960.0798087716</x:v>
      </x:c>
      <x:c r="N37" s="40" t="str">
        <x:f>'WID_raw'!AB37</x:f>
        <x:v>https://wid.world/bulk_download/WID_data_ES.csv</x:v>
      </x:c>
    </x:row>
    <x:row r="38">
      <x:c r="A38" s="26" t="n">
        <x:f>'WID_raw'!A38</x:f>
        <x:v>2023</x:v>
      </x:c>
      <x:c r="B38" s="32" t="n">
        <x:f>'WID_raw'!U38</x:f>
        <x:v>14459.1</x:v>
      </x:c>
      <x:c r="C38" s="32" t="n">
        <x:f>'WID_raw'!V38</x:f>
        <x:v>22262.3</x:v>
      </x:c>
      <x:c r="D38" s="32" t="n">
        <x:f>'WID_raw'!W38</x:f>
        <x:v>30968.4</x:v>
      </x:c>
      <x:c r="E38" s="32" t="n">
        <x:f>'WID_raw'!X38</x:f>
        <x:v>43732</x:v>
      </x:c>
      <x:c r="F38" s="32" t="n">
        <x:f>'WID_raw'!Y38</x:f>
        <x:v>56234.5</x:v>
      </x:c>
      <x:c r="G38" s="32" t="n">
        <x:f>'WID_raw'!Z38</x:f>
        <x:v>159223.2</x:v>
      </x:c>
      <x:c r="H38" s="32" t="n">
        <x:f>B38*'WID_raw'!B38</x:f>
        <x:v>13645.811304742097</x:v>
      </x:c>
      <x:c r="I38" s="32" t="n">
        <x:f>C38*'WID_raw'!B38</x:f>
        <x:v>21010.10056017041</x:v>
      </x:c>
      <x:c r="J38" s="32" t="n">
        <x:f>D38*'WID_raw'!B38</x:f>
        <x:v>29226.503918623923</x:v>
      </x:c>
      <x:c r="K38" s="32" t="n">
        <x:f>E38*'WID_raw'!B38</x:f>
        <x:v>41272.18291449546</x:v>
      </x:c>
      <x:c r="L38" s="32" t="n">
        <x:f>F38*'WID_raw'!B38</x:f>
        <x:v>53071.44814106821</x:v>
      </x:c>
      <x:c r="M38" s="32" t="n">
        <x:f>G38*'WID_raw'!B38</x:f>
        <x:v>150267.28790431021</x:v>
      </x:c>
      <x:c r="N38" s="41" t="str">
        <x:f>'WID_raw'!AB38</x:f>
        <x:v>https://wid.world/bulk_download/WID_data_ES.csv</x:v>
      </x:c>
    </x:row>
  </x:sheetData>
  <x:mergeCells>
    <x:mergeCell ref="A1:N1"/>
    <x:mergeCell ref="A2:N2"/>
  </x:mergeCells>
  <x:pageMargins left="0.7" right="0.7" top="0.75" bottom="0.75" header="0.3" footer="0.3"/>
  <x:tableParts count="1">
    <x:tablePart xmlns:r="http://schemas.openxmlformats.org/officeDocument/2006/relationships" r:id="R26cb32f8eb7c4e4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6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9" hidden="0" customWidth="1"/>
    <x:col min="8" max="8" width="18" hidden="0" customWidth="1"/>
    <x:col min="9" max="9" width="20" hidden="0" customWidth="1"/>
    <x:col min="10" max="10" width="18" hidden="0" customWidth="1"/>
    <x:col min="11" max="11" width="18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9" hidden="0" customWidth="1"/>
    <x:col min="17" max="17" width="40" hidden="0" customWidth="1"/>
    <x:col min="18" max="18" width="36" hidden="0" customWidth="1"/>
    <x:col min="19" max="19" width="34" hidden="0" customWidth="1"/>
    <x:col min="20" max="20" width="48" hidden="0" customWidth="1"/>
  </x:cols>
  <x:sheetData>
    <x:row r="1" ht="28" customHeight="1">
      <x:c r="A1" s="3" t="str">
        <x:v>FEDEA: renta bruta media del hogar por grupos, 2013-2023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</x:row>
    <x:row r="2" ht="34" customHeight="1">
      <x:c r="A2" s="7" t="str">
        <x:v>Es la fuente mas cercana al anexo aportado. Q5 se agrega mediante formula a partir de decil 9, centiles 91-99 y 1% superior. Hay una ruptura metodologica visible entre 2016 y 2017.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</x:row>
    <x:row r="4" ht="36" customHeight="1">
      <x:c r="A4" s="13" t="str">
        <x:v>Ano</x:v>
      </x:c>
      <x:c r="B4" s="13" t="str">
        <x:v>Indice precios (2025=1)</x:v>
      </x:c>
      <x:c r="C4" s="13" t="str">
        <x:v>Q1, euros corrientes</x:v>
      </x:c>
      <x:c r="D4" s="13" t="str">
        <x:v>Q2, euros corrientes</x:v>
      </x:c>
      <x:c r="E4" s="13" t="str">
        <x:v>Q3, euros corrientes</x:v>
      </x:c>
      <x:c r="F4" s="13" t="str">
        <x:v>Q4, euros corrientes</x:v>
      </x:c>
      <x:c r="G4" s="13" t="str">
        <x:v>Q5 agregado, euros corrientes</x:v>
      </x:c>
      <x:c r="H4" s="13" t="str">
        <x:v>Decil 9, euros corrientes</x:v>
      </x:c>
      <x:c r="I4" s="13" t="str">
        <x:v>Centiles 91-99, euros corrientes</x:v>
      </x:c>
      <x:c r="J4" s="13" t="str">
        <x:v>1% superior, euros corrientes</x:v>
      </x:c>
      <x:c r="K4" s="13" t="str">
        <x:v>Total, euros corrientes</x:v>
      </x:c>
      <x:c r="L4" s="13" t="str">
        <x:v>Q1, euros de 2025</x:v>
      </x:c>
      <x:c r="M4" s="13" t="str">
        <x:v>Q2, euros de 2025</x:v>
      </x:c>
      <x:c r="N4" s="13" t="str">
        <x:v>Q3, euros de 2025</x:v>
      </x:c>
      <x:c r="O4" s="13" t="str">
        <x:v>Q4, euros de 2025</x:v>
      </x:c>
      <x:c r="P4" s="13" t="str">
        <x:v>Q5 agregado, euros de 2025</x:v>
      </x:c>
      <x:c r="Q4" s="13" t="str">
        <x:v>Definicion</x:v>
      </x:c>
      <x:c r="R4" s="13" t="str">
        <x:v>Informe</x:v>
      </x:c>
      <x:c r="S4" s="13" t="str">
        <x:v>Fuente URL</x:v>
      </x:c>
      <x:c r="T4" s="13" t="str">
        <x:v>Nota</x:v>
      </x:c>
    </x:row>
    <x:row r="5">
      <x:c r="A5" s="24" t="n">
        <x:v>2013</x:v>
      </x:c>
      <x:c r="B5" s="27" t="n">
        <x:f>'WID_raw'!B28</x:f>
        <x:v>0.7815783023834229</x:v>
      </x:c>
      <x:c r="C5" s="30" t="n">
        <x:v>7248.934830303823</x:v>
      </x:c>
      <x:c r="D5" s="30" t="n">
        <x:v>15636.01889593754</x:v>
      </x:c>
      <x:c r="E5" s="30" t="n">
        <x:v>24395.892928256762</x:v>
      </x:c>
      <x:c r="F5" s="30" t="n">
        <x:v>36869.41892884035</x:v>
      </x:c>
      <x:c r="G5" s="30" t="n">
        <x:f>(H5*('Parametros'!$B$9-'Parametros'!$B$8)+I5*('Parametros'!$B$10-'Parametros'!$B$9)+J5*('Parametros'!$B$11-'Parametros'!$B$10))/('Parametros'!$B$11-'Parametros'!$B$8)</x:f>
        <x:v>72375.34882411236</x:v>
      </x:c>
      <x:c r="H5" s="30" t="n">
        <x:v>52953.21021599732</x:v>
      </x:c>
      <x:c r="I5" s="30" t="n">
        <x:v>83540.92049667044</x:v>
      </x:c>
      <x:c r="J5" s="30" t="n">
        <x:v>166106.58985223976</x:v>
      </x:c>
      <x:c r="K5" s="30" t="n">
        <x:v>31305.119948081403</x:v>
      </x:c>
      <x:c r="L5" s="30" t="n">
        <x:f>C5/B5</x:f>
        <x:v>9274.739086535794</x:v>
      </x:c>
      <x:c r="M5" s="30" t="n">
        <x:f>D5/B5</x:f>
        <x:v>20005.697251645168</x:v>
      </x:c>
      <x:c r="N5" s="30" t="n">
        <x:f>E5/B5</x:f>
        <x:v>31213.62613811245</x:v>
      </x:c>
      <x:c r="O5" s="30" t="n">
        <x:f>F5/B5</x:f>
        <x:v>47173.03284444702</x:v>
      </x:c>
      <x:c r="P5" s="30" t="n">
        <x:f>G5/B5</x:f>
        <x:v>92601.5328258266</x:v>
      </x:c>
      <x:c r="Q5" s="39" t="str">
        <x:v>Renta bruta del hogar (metodologia anterior al sexto informe)</x:v>
      </x:c>
      <x:c r="R5" s="39" t="str">
        <x:v>Cuarto informe - datos 2013-2015</x:v>
      </x:c>
      <x:c r="S5" s="39" t="str">
        <x:v>https://documentos.fedea.net/data/eee/eee2019-36.zip</x:v>
      </x:c>
      <x:c r="T5" s="39" t="str"/>
    </x:row>
    <x:row r="6">
      <x:c r="A6" s="25" t="n">
        <x:v>2014</x:v>
      </x:c>
      <x:c r="B6" s="28" t="n">
        <x:f>'WID_raw'!B29</x:f>
        <x:v>0.7798535823822021</x:v>
      </x:c>
      <x:c r="C6" s="31" t="n">
        <x:v>7266.80628501975</x:v>
      </x:c>
      <x:c r="D6" s="31" t="n">
        <x:v>15907.271517387182</x:v>
      </x:c>
      <x:c r="E6" s="31" t="n">
        <x:v>24430.07549519359</x:v>
      </x:c>
      <x:c r="F6" s="31" t="n">
        <x:v>36602.36560794813</x:v>
      </x:c>
      <x:c r="G6" s="31" t="n">
        <x:f>(H6*('Parametros'!$B$9-'Parametros'!$B$8)+I6*('Parametros'!$B$10-'Parametros'!$B$9)+J6*('Parametros'!$B$11-'Parametros'!$B$10))/('Parametros'!$B$11-'Parametros'!$B$8)</x:f>
        <x:v>72820.13920895157</x:v>
      </x:c>
      <x:c r="H6" s="31" t="n">
        <x:v>52974.79105981814</x:v>
      </x:c>
      <x:c r="I6" s="31" t="n">
        <x:v>83025.19828590039</x:v>
      </x:c>
      <x:c r="J6" s="31" t="n">
        <x:v>179428.08900774634</x:v>
      </x:c>
      <x:c r="K6" s="31" t="n">
        <x:v>31405.327127851553</x:v>
      </x:c>
      <x:c r="L6" s="31" t="n">
        <x:f>C6/B6</x:f>
        <x:v>9318.167472953053</x:v>
      </x:c>
      <x:c r="M6" s="31" t="n">
        <x:f>D6/B6</x:f>
        <x:v>20397.766807450673</x:v>
      </x:c>
      <x:c r="N6" s="31" t="n">
        <x:f>E6/B6</x:f>
        <x:v>31326.49005800237</x:v>
      </x:c>
      <x:c r="O6" s="31" t="n">
        <x:f>F6/B6</x:f>
        <x:v>46934.92013736689</x:v>
      </x:c>
      <x:c r="P6" s="31" t="n">
        <x:f>G6/B6</x:f>
        <x:v>93376.68102582723</x:v>
      </x:c>
      <x:c r="Q6" s="40" t="str">
        <x:v>Renta bruta del hogar (metodologia anterior al sexto informe)</x:v>
      </x:c>
      <x:c r="R6" s="40" t="str">
        <x:v>Cuarto informe - datos 2013-2015</x:v>
      </x:c>
      <x:c r="S6" s="40" t="str">
        <x:v>https://documentos.fedea.net/data/eee/eee2019-36.zip</x:v>
      </x:c>
      <x:c r="T6" s="40" t="str"/>
    </x:row>
    <x:row r="7">
      <x:c r="A7" s="25" t="n">
        <x:v>2015</x:v>
      </x:c>
      <x:c r="B7" s="28" t="n">
        <x:f>'WID_raw'!B30</x:f>
        <x:v>0.7841615676879883</x:v>
      </x:c>
      <x:c r="C7" s="31" t="n">
        <x:v>7661.572612657493</x:v>
      </x:c>
      <x:c r="D7" s="31" t="n">
        <x:v>15911.188523941322</x:v>
      </x:c>
      <x:c r="E7" s="31" t="n">
        <x:v>24739.40167361558</x:v>
      </x:c>
      <x:c r="F7" s="31" t="n">
        <x:v>37189.600733203115</x:v>
      </x:c>
      <x:c r="G7" s="31" t="n">
        <x:f>(H7*('Parametros'!$B$9-'Parametros'!$B$8)+I7*('Parametros'!$B$10-'Parametros'!$B$9)+J7*('Parametros'!$B$11-'Parametros'!$B$10))/('Parametros'!$B$11-'Parametros'!$B$8)</x:f>
        <x:v>74205.28825564102</x:v>
      </x:c>
      <x:c r="H7" s="31" t="n">
        <x:v>53903.6336026098</x:v>
      </x:c>
      <x:c r="I7" s="31" t="n">
        <x:v>83956.47736850863</x:v>
      </x:c>
      <x:c r="J7" s="31" t="n">
        <x:v>189461.13277014456</x:v>
      </x:c>
      <x:c r="K7" s="31" t="n">
        <x:v>31941.402767185587</x:v>
      </x:c>
      <x:c r="L7" s="31" t="n">
        <x:f>C7/B7</x:f>
        <x:v>9770.400550548242</x:v>
      </x:c>
      <x:c r="M7" s="31" t="n">
        <x:f>D7/B7</x:f>
        <x:v>20290.701788476657</x:v>
      </x:c>
      <x:c r="N7" s="31" t="n">
        <x:f>E7/B7</x:f>
        <x:v>31548.857650033664</x:v>
      </x:c>
      <x:c r="O7" s="31" t="n">
        <x:f>F7/B7</x:f>
        <x:v>47425.94162431659</x:v>
      </x:c>
      <x:c r="P7" s="31" t="n">
        <x:f>G7/B7</x:f>
        <x:v>94630.10087886214</x:v>
      </x:c>
      <x:c r="Q7" s="40" t="str">
        <x:v>Renta bruta del hogar (metodologia anterior al sexto informe)</x:v>
      </x:c>
      <x:c r="R7" s="40" t="str">
        <x:v>Cuarto informe - datos 2013-2015</x:v>
      </x:c>
      <x:c r="S7" s="40" t="str">
        <x:v>https://documentos.fedea.net/data/eee/eee2019-36.zip</x:v>
      </x:c>
      <x:c r="T7" s="40" t="str"/>
    </x:row>
    <x:row r="8">
      <x:c r="A8" s="25" t="n">
        <x:v>2016</x:v>
      </x:c>
      <x:c r="B8" s="28" t="n">
        <x:f>'WID_raw'!B31</x:f>
        <x:v>0.7870801687240601</x:v>
      </x:c>
      <x:c r="C8" s="31" t="n">
        <x:v>7441.265213529323</x:v>
      </x:c>
      <x:c r="D8" s="31" t="n">
        <x:v>16498.324249634523</x:v>
      </x:c>
      <x:c r="E8" s="31" t="n">
        <x:v>25842.70360504485</x:v>
      </x:c>
      <x:c r="F8" s="31" t="n">
        <x:v>38875.08574773919</x:v>
      </x:c>
      <x:c r="G8" s="31" t="n">
        <x:f>(H8*('Parametros'!$B$9-'Parametros'!$B$8)+I8*('Parametros'!$B$10-'Parametros'!$B$9)+J8*('Parametros'!$B$11-'Parametros'!$B$10))/('Parametros'!$B$11-'Parametros'!$B$8)</x:f>
        <x:v>75612.74197822956</x:v>
      </x:c>
      <x:c r="H8" s="31" t="n">
        <x:v>55845.753566787695</x:v>
      </x:c>
      <x:c r="I8" s="31" t="n">
        <x:v>84305.32610160926</x:v>
      </x:c>
      <x:c r="J8" s="31" t="n">
        <x:v>195049.36898223098</x:v>
      </x:c>
      <x:c r="K8" s="31" t="n">
        <x:v>32854.01834460093</x:v>
      </x:c>
      <x:c r="L8" s="31" t="n">
        <x:f>C8/B8</x:f>
        <x:v>9454.265917527053</x:v>
      </x:c>
      <x:c r="M8" s="31" t="n">
        <x:f>D8/B8</x:f>
        <x:v>20961.42795260621</x:v>
      </x:c>
      <x:c r="N8" s="31" t="n">
        <x:f>E8/B8</x:f>
        <x:v>32833.635799690644</x:v>
      </x:c>
      <x:c r="O8" s="31" t="n">
        <x:f>F8/B8</x:f>
        <x:v>49391.51981272734</x:v>
      </x:c>
      <x:c r="P8" s="31" t="n">
        <x:f>G8/B8</x:f>
        <x:v>96067.39565145668</x:v>
      </x:c>
      <x:c r="Q8" s="40" t="str">
        <x:v>Renta bruta del hogar (metodologia anterior al sexto informe)</x:v>
      </x:c>
      <x:c r="R8" s="40" t="str">
        <x:v>Cuarto informe - datos 2016-2017</x:v>
      </x:c>
      <x:c r="S8" s="40" t="str">
        <x:v>https://documentos.fedea.net/data/eee/eee2019-36.zip</x:v>
      </x:c>
      <x:c r="T8" s="40" t="str"/>
    </x:row>
    <x:row r="9">
      <x:c r="A9" s="42" t="n">
        <x:v>2017</x:v>
      </x:c>
      <x:c r="B9" s="43" t="n">
        <x:f>'WID_raw'!B32</x:f>
        <x:v>0.7969813942909241</x:v>
      </x:c>
      <x:c r="C9" s="44" t="n">
        <x:v>9060.364295448508</x:v>
      </x:c>
      <x:c r="D9" s="44" t="n">
        <x:v>19774.54626056291</x:v>
      </x:c>
      <x:c r="E9" s="44" t="n">
        <x:v>31620.267567346196</x:v>
      </x:c>
      <x:c r="F9" s="44" t="n">
        <x:v>48851.49155319663</x:v>
      </x:c>
      <x:c r="G9" s="44" t="n">
        <x:f>(H9*('Parametros'!$B$9-'Parametros'!$B$8)+I9*('Parametros'!$B$10-'Parametros'!$B$9)+J9*('Parametros'!$B$11-'Parametros'!$B$10))/('Parametros'!$B$11-'Parametros'!$B$8)</x:f>
        <x:v>103475.29916273746</x:v>
      </x:c>
      <x:c r="H9" s="44" t="n">
        <x:v>72675.92753799968</x:v>
      </x:c>
      <x:c r="I9" s="44" t="n">
        <x:v>115860.45135917913</x:v>
      </x:c>
      <x:c r="J9" s="44" t="n">
        <x:v>300002.64564214</x:v>
      </x:c>
      <x:c r="K9" s="44" t="n">
        <x:v>42556.385156837954</x:v>
      </x:c>
      <x:c r="L9" s="44" t="n">
        <x:f>C9/B9</x:f>
        <x:v>11368.35108115608</x:v>
      </x:c>
      <x:c r="M9" s="44" t="n">
        <x:f>D9/B9</x:f>
        <x:v>24811.804142750865</x:v>
      </x:c>
      <x:c r="N9" s="44" t="n">
        <x:f>E9/B9</x:f>
        <x:v>39675.0385816457</x:v>
      </x:c>
      <x:c r="O9" s="44" t="n">
        <x:f>F9/B9</x:f>
        <x:v>61295.64868532458</x:v>
      </x:c>
      <x:c r="P9" s="44" t="n">
        <x:f>G9/B9</x:f>
        <x:v>129834.02110007804</x:v>
      </x:c>
      <x:c r="Q9" s="45" t="str">
        <x:v>Renta bruta del hogar tras renta de mercado ampliada</x:v>
      </x:c>
      <x:c r="R9" s="45" t="str">
        <x:v>Sexto informe - datos revisados 2017-2018</x:v>
      </x:c>
      <x:c r="S9" s="45" t="str">
        <x:v>https://documentos.fedea.net/data/eee/2021/eee2021-33.zip</x:v>
      </x:c>
      <x:c r="T9" s="45" t="str">
        <x:v>Ruptura metodologica: desde el sexto informe se incorpora renta de mercado ampliada.</x:v>
      </x:c>
    </x:row>
    <x:row r="10">
      <x:c r="A10" s="25" t="n">
        <x:v>2018</x:v>
      </x:c>
      <x:c r="B10" s="28" t="n">
        <x:f>'WID_raw'!B33</x:f>
        <x:v>0.8064444065093994</x:v>
      </x:c>
      <x:c r="C10" s="31" t="n">
        <x:v>9293.980405604161</x:v>
      </x:c>
      <x:c r="D10" s="31" t="n">
        <x:v>20667.97284409008</x:v>
      </x:c>
      <x:c r="E10" s="31" t="n">
        <x:v>32683.513186596894</x:v>
      </x:c>
      <x:c r="F10" s="31" t="n">
        <x:v>49541.78469242939</x:v>
      </x:c>
      <x:c r="G10" s="31" t="n">
        <x:f>(H10*('Parametros'!$B$9-'Parametros'!$B$8)+I10*('Parametros'!$B$10-'Parametros'!$B$9)+J10*('Parametros'!$B$11-'Parametros'!$B$10))/('Parametros'!$B$11-'Parametros'!$B$8)</x:f>
        <x:v>104921.74977744695</x:v>
      </x:c>
      <x:c r="H10" s="31" t="n">
        <x:v>73583.48456496674</x:v>
      </x:c>
      <x:c r="I10" s="31" t="n">
        <x:v>116133.49442919793</x:v>
      </x:c>
      <x:c r="J10" s="31" t="n">
        <x:v>317398.70003649016</x:v>
      </x:c>
      <x:c r="K10" s="31" t="n">
        <x:v>43421.79501667981</x:v>
      </x:c>
      <x:c r="L10" s="31" t="n">
        <x:f>C10/B10</x:f>
        <x:v>11524.63868629466</x:v>
      </x:c>
      <x:c r="M10" s="31" t="n">
        <x:f>D10/B10</x:f>
        <x:v>25628.51534124837</x:v>
      </x:c>
      <x:c r="N10" s="31" t="n">
        <x:f>E10/B10</x:f>
        <x:v>40527.91850595588</x:v>
      </x:c>
      <x:c r="O10" s="31" t="n">
        <x:f>F10/B10</x:f>
        <x:v>61432.36197379709</x:v>
      </x:c>
      <x:c r="P10" s="31" t="n">
        <x:f>G10/B10</x:f>
        <x:v>130104.13232523804</x:v>
      </x:c>
      <x:c r="Q10" s="40" t="str">
        <x:v>Renta bruta del hogar tras renta de mercado ampliada</x:v>
      </x:c>
      <x:c r="R10" s="40" t="str">
        <x:v>Sexto informe - datos revisados 2017-2018</x:v>
      </x:c>
      <x:c r="S10" s="40" t="str">
        <x:v>https://documentos.fedea.net/data/eee/2021/eee2021-33.zip</x:v>
      </x:c>
      <x:c r="T10" s="40" t="str"/>
    </x:row>
    <x:row r="11">
      <x:c r="A11" s="25" t="n">
        <x:v>2019</x:v>
      </x:c>
      <x:c r="B11" s="28" t="n">
        <x:f>'WID_raw'!B34</x:f>
        <x:v>0.8179656863212585</x:v>
      </x:c>
      <x:c r="C11" s="31" t="n">
        <x:v>10023.169396037549</x:v>
      </x:c>
      <x:c r="D11" s="31" t="n">
        <x:v>22559.202065711248</x:v>
      </x:c>
      <x:c r="E11" s="31" t="n">
        <x:v>35485.09483235613</x:v>
      </x:c>
      <x:c r="F11" s="31" t="n">
        <x:v>53656.22746947258</x:v>
      </x:c>
      <x:c r="G11" s="31" t="n">
        <x:f>(H11*('Parametros'!$B$9-'Parametros'!$B$8)+I11*('Parametros'!$B$10-'Parametros'!$B$9)+J11*('Parametros'!$B$11-'Parametros'!$B$10))/('Parametros'!$B$11-'Parametros'!$B$8)</x:f>
        <x:v>113719.61957295539</x:v>
      </x:c>
      <x:c r="H11" s="31" t="n">
        <x:v>77633.88815905247</x:v>
      </x:c>
      <x:c r="I11" s="31" t="n">
        <x:v>122623.24008834647</x:v>
      </x:c>
      <x:c r="J11" s="31" t="n">
        <x:v>394444.34907346434</x:v>
      </x:c>
      <x:c r="K11" s="31" t="n">
        <x:v>47088.648983164196</x:v>
      </x:c>
      <x:c r="L11" s="31" t="n">
        <x:f>C11/B11</x:f>
        <x:v>12253.777345008233</x:v>
      </x:c>
      <x:c r="M11" s="31" t="n">
        <x:f>D11/B11</x:f>
        <x:v>27579.643551026726</x:v>
      </x:c>
      <x:c r="N11" s="31" t="n">
        <x:f>E11/B11</x:f>
        <x:v>43382.131336031685</x:v>
      </x:c>
      <x:c r="O11" s="31" t="n">
        <x:f>F11/B11</x:f>
        <x:v>65597.1617963433</x:v>
      </x:c>
      <x:c r="P11" s="31" t="n">
        <x:f>G11/B11</x:f>
        <x:v>139027.37177692764</x:v>
      </x:c>
      <x:c r="Q11" s="40" t="str">
        <x:v>Renta bruta del hogar tras renta de mercado ampliada</x:v>
      </x:c>
      <x:c r="R11" s="40" t="str">
        <x:v>Septimo informe - datos 2019-2020</x:v>
      </x:c>
      <x:c r="S11" s="40" t="str">
        <x:v>https://www.fedea.net/documentos/data/eee/2023/eee2023-01.zip</x:v>
      </x:c>
      <x:c r="T11" s="40" t="str"/>
    </x:row>
    <x:row r="12">
      <x:c r="A12" s="25" t="n">
        <x:v>2020</x:v>
      </x:c>
      <x:c r="B12" s="28" t="n">
        <x:f>'WID_raw'!B35</x:f>
        <x:v>0.8272407054901123</x:v>
      </x:c>
      <x:c r="C12" s="31" t="n">
        <x:v>9474.120749658756</x:v>
      </x:c>
      <x:c r="D12" s="31" t="n">
        <x:v>21799.788564088558</x:v>
      </x:c>
      <x:c r="E12" s="31" t="n">
        <x:v>34867.71675393533</x:v>
      </x:c>
      <x:c r="F12" s="31" t="n">
        <x:v>52879.121445676275</x:v>
      </x:c>
      <x:c r="G12" s="31" t="n">
        <x:f>(H12*('Parametros'!$B$9-'Parametros'!$B$8)+I12*('Parametros'!$B$10-'Parametros'!$B$9)+J12*('Parametros'!$B$11-'Parametros'!$B$10))/('Parametros'!$B$11-'Parametros'!$B$8)</x:f>
        <x:v>107033.2776656193</x:v>
      </x:c>
      <x:c r="H12" s="31" t="n">
        <x:v>77297.81233410524</x:v>
      </x:c>
      <x:c r="I12" s="31" t="n">
        <x:v>120792.96172784672</x:v>
      </x:c>
      <x:c r="J12" s="31" t="n">
        <x:v>280550.77442071284</x:v>
      </x:c>
      <x:c r="K12" s="31" t="n">
        <x:v>45210.79591676951</x:v>
      </x:c>
      <x:c r="L12" s="31" t="n">
        <x:f>C12/B12</x:f>
        <x:v>11452.677179425857</x:v>
      </x:c>
      <x:c r="M12" s="31" t="n">
        <x:f>D12/B12</x:f>
        <x:v>26352.412809731017</x:v>
      </x:c>
      <x:c r="N12" s="31" t="n">
        <x:f>E12/B12</x:f>
        <x:v>42149.42098778539</x:v>
      </x:c>
      <x:c r="O12" s="31" t="n">
        <x:f>F12/B12</x:f>
        <x:v>63922.2914137756</x:v>
      </x:c>
      <x:c r="P12" s="31" t="n">
        <x:f>G12/B12</x:f>
        <x:v>129385.89331409373</x:v>
      </x:c>
      <x:c r="Q12" s="40" t="str">
        <x:v>Renta bruta del hogar tras renta de mercado ampliada</x:v>
      </x:c>
      <x:c r="R12" s="40" t="str">
        <x:v>Octavo informe - datos 2020-2021</x:v>
      </x:c>
      <x:c r="S12" s="40" t="str">
        <x:v>https://documentos.fedea.net/data/eee/2024/eee2024-04.zip</x:v>
      </x:c>
      <x:c r="T12" s="40" t="str"/>
    </x:row>
    <x:row r="13">
      <x:c r="A13" s="25" t="n">
        <x:v>2021</x:v>
      </x:c>
      <x:c r="B13" s="28" t="n">
        <x:f>'WID_raw'!B36</x:f>
        <x:v>0.8483859300613403</x:v>
      </x:c>
      <x:c r="C13" s="31" t="n">
        <x:v>10884.28710061886</x:v>
      </x:c>
      <x:c r="D13" s="31" t="n">
        <x:v>23842.882021483358</x:v>
      </x:c>
      <x:c r="E13" s="31" t="n">
        <x:v>37636.35247309475</x:v>
      </x:c>
      <x:c r="F13" s="31" t="n">
        <x:v>56605.78009475062</x:v>
      </x:c>
      <x:c r="G13" s="31" t="n">
        <x:f>(H13*('Parametros'!$B$9-'Parametros'!$B$8)+I13*('Parametros'!$B$10-'Parametros'!$B$9)+J13*('Parametros'!$B$11-'Parametros'!$B$10))/('Parametros'!$B$11-'Parametros'!$B$8)</x:f>
        <x:v>120213.23468892921</x:v>
      </x:c>
      <x:c r="H13" s="31" t="n">
        <x:v>81241.04807186141</x:v>
      </x:c>
      <x:c r="I13" s="31" t="n">
        <x:v>129514.01882613152</x:v>
      </x:c>
      <x:c r="J13" s="31" t="n">
        <x:v>426228.043624786</x:v>
      </x:c>
      <x:c r="K13" s="31" t="n">
        <x:v>49836.50257290408</x:v>
      </x:c>
      <x:c r="L13" s="31" t="n">
        <x:f>C13/B13</x:f>
        <x:v>12829.405480394871</x:v>
      </x:c>
      <x:c r="M13" s="31" t="n">
        <x:f>D13/B13</x:f>
        <x:v>28103.81593640934</x:v>
      </x:c>
      <x:c r="N13" s="31" t="n">
        <x:f>E13/B13</x:f>
        <x:v>44362.3015652482</x:v>
      </x:c>
      <x:c r="O13" s="31" t="n">
        <x:f>F13/B13</x:f>
        <x:v>66721.7336933651</x:v>
      </x:c>
      <x:c r="P13" s="31" t="n">
        <x:f>G13/B13</x:f>
        <x:v>141696.40305118862</x:v>
      </x:c>
      <x:c r="Q13" s="40" t="str">
        <x:v>Renta bruta del hogar tras renta de mercado ampliada</x:v>
      </x:c>
      <x:c r="R13" s="40" t="str">
        <x:v>Noveno informe - datos 2021-2022</x:v>
      </x:c>
      <x:c r="S13" s="40" t="str">
        <x:v>https://documentos.fedea.net/data/eee/2025/eee2025-02.zip</x:v>
      </x:c>
      <x:c r="T13" s="40" t="str"/>
    </x:row>
    <x:row r="14">
      <x:c r="A14" s="42" t="n">
        <x:v>2022</x:v>
      </x:c>
      <x:c r="B14" s="43" t="n">
        <x:f>'WID_raw'!B37</x:f>
        <x:v>0.8883609175682068</x:v>
      </x:c>
      <x:c r="C14" s="44" t="n">
        <x:v>12113.138631643073</x:v>
      </x:c>
      <x:c r="D14" s="44" t="n">
        <x:v>27025.227604313543</x:v>
      </x:c>
      <x:c r="E14" s="44" t="n">
        <x:v>41747.51424303121</x:v>
      </x:c>
      <x:c r="F14" s="44" t="n">
        <x:v>62726.01043662834</x:v>
      </x:c>
      <x:c r="G14" s="44" t="n">
        <x:f>(H14*('Parametros'!$B$9-'Parametros'!$B$8)+I14*('Parametros'!$B$10-'Parametros'!$B$9)+J14*('Parametros'!$B$11-'Parametros'!$B$10))/('Parametros'!$B$11-'Parametros'!$B$8)</x:f>
        <x:v>128504.35703696586</x:v>
      </x:c>
      <x:c r="H14" s="44" t="n">
        <x:v>89251.47451830872</x:v>
      </x:c>
      <x:c r="I14" s="44" t="n">
        <x:v>141438.13865663676</x:v>
      </x:c>
      <x:c r="J14" s="44" t="n">
        <x:v>404629.14764649916</x:v>
      </x:c>
      <x:c r="K14" s="44" t="n">
        <x:v>54423.24738099587</x:v>
      </x:c>
      <x:c r="L14" s="44" t="n">
        <x:f>C14/B14</x:f>
        <x:v>13635.379936345576</x:v>
      </x:c>
      <x:c r="M14" s="44" t="n">
        <x:f>D14/B14</x:f>
        <x:v>30421.450414874416</x:v>
      </x:c>
      <x:c r="N14" s="44" t="n">
        <x:f>E14/B14</x:f>
        <x:v>46993.86636380918</x:v>
      </x:c>
      <x:c r="O14" s="44" t="n">
        <x:f>F14/B14</x:f>
        <x:v>70608.70103148403</x:v>
      </x:c>
      <x:c r="P14" s="44" t="n">
        <x:f>G14/B14</x:f>
        <x:v>144653.32107217505</x:v>
      </x:c>
      <x:c r="Q14" s="45" t="str">
        <x:v>Renta bruta del hogar tras renta de mercado ampliada</x:v>
      </x:c>
      <x:c r="R14" s="45" t="str">
        <x:v>Decimo informe - datos revisados 2022-2023</x:v>
      </x:c>
      <x:c r="S14" s="45" t="str">
        <x:v>https://fedea.net/documentos/data/eee/2026/eee2026-13.zip</x:v>
      </x:c>
      <x:c r="T14" s="45" t="str">
        <x:v>Version revisada del informe 2026; difiere del anexo 2025 aportado.</x:v>
      </x:c>
    </x:row>
    <x:row r="15">
      <x:c r="A15" s="26" t="n">
        <x:v>2023</x:v>
      </x:c>
      <x:c r="B15" s="29" t="n">
        <x:f>'WID_raw'!B38</x:f>
        <x:v>0.9437524676322936</x:v>
      </x:c>
      <x:c r="C15" s="32" t="n">
        <x:v>13011.459959878539</x:v>
      </x:c>
      <x:c r="D15" s="32" t="n">
        <x:v>28842.358275763592</x:v>
      </x:c>
      <x:c r="E15" s="32" t="n">
        <x:v>44619.319962061134</x:v>
      </x:c>
      <x:c r="F15" s="32" t="n">
        <x:v>66619.75546771807</x:v>
      </x:c>
      <x:c r="G15" s="32" t="n">
        <x:f>(H15*('Parametros'!$B$9-'Parametros'!$B$8)+I15*('Parametros'!$B$10-'Parametros'!$B$9)+J15*('Parametros'!$B$11-'Parametros'!$B$10))/('Parametros'!$B$11-'Parametros'!$B$8)</x:f>
        <x:v>141342.33630313704</x:v>
      </x:c>
      <x:c r="H15" s="32" t="n">
        <x:v>95295.82665875259</x:v>
      </x:c>
      <x:c r="I15" s="32" t="n">
        <x:v>155296.34520456762</x:v>
      </x:c>
      <x:c r="J15" s="32" t="n">
        <x:v>476221.35263410606</x:v>
      </x:c>
      <x:c r="K15" s="32" t="n">
        <x:v>58887.03385095232</x:v>
      </x:c>
      <x:c r="L15" s="32" t="n">
        <x:f>C15/B15</x:f>
        <x:v>13786.941392081304</x:v>
      </x:c>
      <x:c r="M15" s="32" t="n">
        <x:f>D15/B15</x:f>
        <x:v>30561.359323514054</x:v>
      </x:c>
      <x:c r="N15" s="32" t="n">
        <x:f>E15/B15</x:f>
        <x:v>47278.62600879131</x:v>
      </x:c>
      <x:c r="O15" s="32" t="n">
        <x:f>F15/B15</x:f>
        <x:v>70590.28479666405</x:v>
      </x:c>
      <x:c r="P15" s="32" t="n">
        <x:f>G15/B15</x:f>
        <x:v>149766.32236813084</x:v>
      </x:c>
      <x:c r="Q15" s="41" t="str">
        <x:v>Renta bruta del hogar tras renta de mercado ampliada</x:v>
      </x:c>
      <x:c r="R15" s="41" t="str">
        <x:v>Decimo informe - datos revisados 2022-2023</x:v>
      </x:c>
      <x:c r="S15" s="41" t="str">
        <x:v>https://fedea.net/documentos/data/eee/2026/eee2026-13.zip</x:v>
      </x:c>
      <x:c r="T15" s="41" t="str"/>
    </x:row>
  </x:sheetData>
  <x:mergeCells>
    <x:mergeCell ref="A1:T1"/>
    <x:mergeCell ref="A2:T2"/>
  </x:mergeCells>
  <x:pageMargins left="0.7" right="0.7" top="0.75" bottom="0.75" header="0.3" footer="0.3"/>
  <x:tableParts count="1">
    <x:tablePart xmlns:r="http://schemas.openxmlformats.org/officeDocument/2006/relationships" r:id="Ra61d37b13b5c42d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38" hidden="0" customWidth="1"/>
    <x:col min="4" max="4" width="42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6" hidden="0" customWidth="1"/>
    <x:col min="10" max="10" width="14" hidden="0" customWidth="1"/>
    <x:col min="11" max="11" width="17" hidden="0" customWidth="1"/>
    <x:col min="12" max="12" width="15" hidden="0" customWidth="1"/>
    <x:col min="13" max="13" width="15" hidden="0" customWidth="1"/>
    <x:col min="14" max="14" width="34" hidden="0" customWidth="1"/>
  </x:cols>
  <x:sheetData>
    <x:row r="1" ht="28" customHeight="1">
      <x:c r="A1" s="3" t="str">
        <x:v>FEDEA: versiones y revisiones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34" customHeight="1">
      <x:c r="A2" s="7" t="str">
        <x:v>Conserva todas las observaciones descargadas. Permite comprobar las revisiones de 2017, 2020, 2021 y 2022.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4" ht="36" customHeight="1">
      <x:c r="A4" s="13" t="str">
        <x:v>Ano</x:v>
      </x:c>
      <x:c r="B4" s="13" t="str">
        <x:v>Ano del informe</x:v>
      </x:c>
      <x:c r="C4" s="13" t="str">
        <x:v>Informe/version</x:v>
      </x:c>
      <x:c r="D4" s="13" t="str">
        <x:v>Definicion</x:v>
      </x:c>
      <x:c r="E4" s="13" t="str">
        <x:v>Q1</x:v>
      </x:c>
      <x:c r="F4" s="13" t="str">
        <x:v>Q2</x:v>
      </x:c>
      <x:c r="G4" s="13" t="str">
        <x:v>Q3</x:v>
      </x:c>
      <x:c r="H4" s="13" t="str">
        <x:v>Q4</x:v>
      </x:c>
      <x:c r="I4" s="13" t="str">
        <x:v>Q5 agregado</x:v>
      </x:c>
      <x:c r="J4" s="13" t="str">
        <x:v>Decil 9</x:v>
      </x:c>
      <x:c r="K4" s="13" t="str">
        <x:v>Centiles 91-99</x:v>
      </x:c>
      <x:c r="L4" s="13" t="str">
        <x:v>1% superior</x:v>
      </x:c>
      <x:c r="M4" s="13" t="str">
        <x:v>Total</x:v>
      </x:c>
      <x:c r="N4" s="13" t="str">
        <x:v>Fuente URL</x:v>
      </x:c>
    </x:row>
    <x:row r="5">
      <x:c r="A5" s="24" t="n">
        <x:v>2013</x:v>
      </x:c>
      <x:c r="B5" s="24" t="n">
        <x:v>2019</x:v>
      </x:c>
      <x:c r="C5" s="39" t="str">
        <x:v>Cuarto informe - datos 2013-2015</x:v>
      </x:c>
      <x:c r="D5" s="39" t="str">
        <x:v>Renta bruta del hogar (metodologia anterior al sexto informe)</x:v>
      </x:c>
      <x:c r="E5" s="30" t="n">
        <x:v>7248.934830303823</x:v>
      </x:c>
      <x:c r="F5" s="30" t="n">
        <x:v>15636.01889593754</x:v>
      </x:c>
      <x:c r="G5" s="30" t="n">
        <x:v>24395.892928256762</x:v>
      </x:c>
      <x:c r="H5" s="30" t="n">
        <x:v>36869.41892884035</x:v>
      </x:c>
      <x:c r="I5" s="30" t="n">
        <x:f>(J5*('Parametros'!$B$9-'Parametros'!$B$8)+K5*('Parametros'!$B$10-'Parametros'!$B$9)+L5*('Parametros'!$B$11-'Parametros'!$B$10))/('Parametros'!$B$11-'Parametros'!$B$8)</x:f>
        <x:v>72375.34882411236</x:v>
      </x:c>
      <x:c r="J5" s="30" t="n">
        <x:v>52953.21021599732</x:v>
      </x:c>
      <x:c r="K5" s="30" t="n">
        <x:v>83540.92049667044</x:v>
      </x:c>
      <x:c r="L5" s="30" t="n">
        <x:v>166106.58985223976</x:v>
      </x:c>
      <x:c r="M5" s="30" t="n">
        <x:v>31305.119948081403</x:v>
      </x:c>
      <x:c r="N5" s="39" t="str">
        <x:v>https://documentos.fedea.net/data/eee/eee2019-36.zip</x:v>
      </x:c>
    </x:row>
    <x:row r="6">
      <x:c r="A6" s="25" t="n">
        <x:v>2014</x:v>
      </x:c>
      <x:c r="B6" s="25" t="n">
        <x:v>2019</x:v>
      </x:c>
      <x:c r="C6" s="40" t="str">
        <x:v>Cuarto informe - datos 2013-2015</x:v>
      </x:c>
      <x:c r="D6" s="40" t="str">
        <x:v>Renta bruta del hogar (metodologia anterior al sexto informe)</x:v>
      </x:c>
      <x:c r="E6" s="31" t="n">
        <x:v>7266.80628501975</x:v>
      </x:c>
      <x:c r="F6" s="31" t="n">
        <x:v>15907.271517387182</x:v>
      </x:c>
      <x:c r="G6" s="31" t="n">
        <x:v>24430.07549519359</x:v>
      </x:c>
      <x:c r="H6" s="31" t="n">
        <x:v>36602.36560794813</x:v>
      </x:c>
      <x:c r="I6" s="31" t="n">
        <x:f>(J6*('Parametros'!$B$9-'Parametros'!$B$8)+K6*('Parametros'!$B$10-'Parametros'!$B$9)+L6*('Parametros'!$B$11-'Parametros'!$B$10))/('Parametros'!$B$11-'Parametros'!$B$8)</x:f>
        <x:v>72820.13920895157</x:v>
      </x:c>
      <x:c r="J6" s="31" t="n">
        <x:v>52974.79105981814</x:v>
      </x:c>
      <x:c r="K6" s="31" t="n">
        <x:v>83025.19828590039</x:v>
      </x:c>
      <x:c r="L6" s="31" t="n">
        <x:v>179428.08900774634</x:v>
      </x:c>
      <x:c r="M6" s="31" t="n">
        <x:v>31405.327127851553</x:v>
      </x:c>
      <x:c r="N6" s="40" t="str">
        <x:v>https://documentos.fedea.net/data/eee/eee2019-36.zip</x:v>
      </x:c>
    </x:row>
    <x:row r="7">
      <x:c r="A7" s="25" t="n">
        <x:v>2015</x:v>
      </x:c>
      <x:c r="B7" s="25" t="n">
        <x:v>2019</x:v>
      </x:c>
      <x:c r="C7" s="40" t="str">
        <x:v>Cuarto informe - datos 2013-2015</x:v>
      </x:c>
      <x:c r="D7" s="40" t="str">
        <x:v>Renta bruta del hogar (metodologia anterior al sexto informe)</x:v>
      </x:c>
      <x:c r="E7" s="31" t="n">
        <x:v>7661.572612657493</x:v>
      </x:c>
      <x:c r="F7" s="31" t="n">
        <x:v>15911.188523941322</x:v>
      </x:c>
      <x:c r="G7" s="31" t="n">
        <x:v>24739.40167361558</x:v>
      </x:c>
      <x:c r="H7" s="31" t="n">
        <x:v>37189.600733203115</x:v>
      </x:c>
      <x:c r="I7" s="31" t="n">
        <x:f>(J7*('Parametros'!$B$9-'Parametros'!$B$8)+K7*('Parametros'!$B$10-'Parametros'!$B$9)+L7*('Parametros'!$B$11-'Parametros'!$B$10))/('Parametros'!$B$11-'Parametros'!$B$8)</x:f>
        <x:v>74205.28825564102</x:v>
      </x:c>
      <x:c r="J7" s="31" t="n">
        <x:v>53903.6336026098</x:v>
      </x:c>
      <x:c r="K7" s="31" t="n">
        <x:v>83956.47736850863</x:v>
      </x:c>
      <x:c r="L7" s="31" t="n">
        <x:v>189461.13277014456</x:v>
      </x:c>
      <x:c r="M7" s="31" t="n">
        <x:v>31941.402767185587</x:v>
      </x:c>
      <x:c r="N7" s="40" t="str">
        <x:v>https://documentos.fedea.net/data/eee/eee2019-36.zip</x:v>
      </x:c>
    </x:row>
    <x:row r="8">
      <x:c r="A8" s="25" t="n">
        <x:v>2016</x:v>
      </x:c>
      <x:c r="B8" s="25" t="n">
        <x:v>2019</x:v>
      </x:c>
      <x:c r="C8" s="40" t="str">
        <x:v>Cuarto informe - datos 2016-2017</x:v>
      </x:c>
      <x:c r="D8" s="40" t="str">
        <x:v>Renta bruta del hogar (metodologia anterior al sexto informe)</x:v>
      </x:c>
      <x:c r="E8" s="31" t="n">
        <x:v>7441.265213529323</x:v>
      </x:c>
      <x:c r="F8" s="31" t="n">
        <x:v>16498.324249634523</x:v>
      </x:c>
      <x:c r="G8" s="31" t="n">
        <x:v>25842.70360504485</x:v>
      </x:c>
      <x:c r="H8" s="31" t="n">
        <x:v>38875.08574773919</x:v>
      </x:c>
      <x:c r="I8" s="31" t="n">
        <x:f>(J8*('Parametros'!$B$9-'Parametros'!$B$8)+K8*('Parametros'!$B$10-'Parametros'!$B$9)+L8*('Parametros'!$B$11-'Parametros'!$B$10))/('Parametros'!$B$11-'Parametros'!$B$8)</x:f>
        <x:v>75612.74197822956</x:v>
      </x:c>
      <x:c r="J8" s="31" t="n">
        <x:v>55845.753566787695</x:v>
      </x:c>
      <x:c r="K8" s="31" t="n">
        <x:v>84305.32610160926</x:v>
      </x:c>
      <x:c r="L8" s="31" t="n">
        <x:v>195049.36898223098</x:v>
      </x:c>
      <x:c r="M8" s="31" t="n">
        <x:v>32854.01834460093</x:v>
      </x:c>
      <x:c r="N8" s="40" t="str">
        <x:v>https://documentos.fedea.net/data/eee/eee2019-36.zip</x:v>
      </x:c>
    </x:row>
    <x:row r="9">
      <x:c r="A9" s="25" t="n">
        <x:v>2017</x:v>
      </x:c>
      <x:c r="B9" s="25" t="n">
        <x:v>2019</x:v>
      </x:c>
      <x:c r="C9" s="40" t="str">
        <x:v>Cuarto informe - datos 2016-2017</x:v>
      </x:c>
      <x:c r="D9" s="40" t="str">
        <x:v>Renta bruta del hogar (metodologia anterior al sexto informe)</x:v>
      </x:c>
      <x:c r="E9" s="31" t="n">
        <x:v>8248.26525809927</x:v>
      </x:c>
      <x:c r="F9" s="31" t="n">
        <x:v>17283.68281892937</x:v>
      </x:c>
      <x:c r="G9" s="31" t="n">
        <x:v>26627.31552067835</x:v>
      </x:c>
      <x:c r="H9" s="31" t="n">
        <x:v>39900.19609283746</x:v>
      </x:c>
      <x:c r="I9" s="31" t="n">
        <x:f>(J9*('Parametros'!$B$9-'Parametros'!$B$8)+K9*('Parametros'!$B$10-'Parametros'!$B$9)+L9*('Parametros'!$B$11-'Parametros'!$B$10))/('Parametros'!$B$11-'Parametros'!$B$8)</x:f>
        <x:v>78590.7234393812</x:v>
      </x:c>
      <x:c r="J9" s="31" t="n">
        <x:v>57985.86582507644</x:v>
      </x:c>
      <x:c r="K9" s="31" t="n">
        <x:v>88618.93890750337</x:v>
      </x:c>
      <x:c r="L9" s="31" t="n">
        <x:v>194385.3603693289</x:v>
      </x:c>
      <x:c r="M9" s="31" t="n">
        <x:v>34130.031522890626</x:v>
      </x:c>
      <x:c r="N9" s="40" t="str">
        <x:v>https://documentos.fedea.net/data/eee/eee2019-36.zip</x:v>
      </x:c>
    </x:row>
    <x:row r="10">
      <x:c r="A10" s="25" t="n">
        <x:v>2017</x:v>
      </x:c>
      <x:c r="B10" s="25" t="n">
        <x:v>2021</x:v>
      </x:c>
      <x:c r="C10" s="40" t="str">
        <x:v>Sexto informe - datos revisados 2017-2018</x:v>
      </x:c>
      <x:c r="D10" s="40" t="str">
        <x:v>Renta bruta del hogar tras renta de mercado ampliada</x:v>
      </x:c>
      <x:c r="E10" s="31" t="n">
        <x:v>9060.364295448508</x:v>
      </x:c>
      <x:c r="F10" s="31" t="n">
        <x:v>19774.54626056291</x:v>
      </x:c>
      <x:c r="G10" s="31" t="n">
        <x:v>31620.267567346196</x:v>
      </x:c>
      <x:c r="H10" s="31" t="n">
        <x:v>48851.49155319663</x:v>
      </x:c>
      <x:c r="I10" s="31" t="n">
        <x:f>(J10*('Parametros'!$B$9-'Parametros'!$B$8)+K10*('Parametros'!$B$10-'Parametros'!$B$9)+L10*('Parametros'!$B$11-'Parametros'!$B$10))/('Parametros'!$B$11-'Parametros'!$B$8)</x:f>
        <x:v>103475.29916273746</x:v>
      </x:c>
      <x:c r="J10" s="31" t="n">
        <x:v>72675.92753799968</x:v>
      </x:c>
      <x:c r="K10" s="31" t="n">
        <x:v>115860.45135917913</x:v>
      </x:c>
      <x:c r="L10" s="31" t="n">
        <x:v>300002.64564214</x:v>
      </x:c>
      <x:c r="M10" s="31" t="n">
        <x:v>42556.385156837954</x:v>
      </x:c>
      <x:c r="N10" s="40" t="str">
        <x:v>https://documentos.fedea.net/data/eee/2021/eee2021-33.zip</x:v>
      </x:c>
    </x:row>
    <x:row r="11">
      <x:c r="A11" s="25" t="n">
        <x:v>2018</x:v>
      </x:c>
      <x:c r="B11" s="25" t="n">
        <x:v>2021</x:v>
      </x:c>
      <x:c r="C11" s="40" t="str">
        <x:v>Sexto informe - datos revisados 2017-2018</x:v>
      </x:c>
      <x:c r="D11" s="40" t="str">
        <x:v>Renta bruta del hogar tras renta de mercado ampliada</x:v>
      </x:c>
      <x:c r="E11" s="31" t="n">
        <x:v>9293.980405604161</x:v>
      </x:c>
      <x:c r="F11" s="31" t="n">
        <x:v>20667.97284409008</x:v>
      </x:c>
      <x:c r="G11" s="31" t="n">
        <x:v>32683.513186596894</x:v>
      </x:c>
      <x:c r="H11" s="31" t="n">
        <x:v>49541.78469242939</x:v>
      </x:c>
      <x:c r="I11" s="31" t="n">
        <x:f>(J11*('Parametros'!$B$9-'Parametros'!$B$8)+K11*('Parametros'!$B$10-'Parametros'!$B$9)+L11*('Parametros'!$B$11-'Parametros'!$B$10))/('Parametros'!$B$11-'Parametros'!$B$8)</x:f>
        <x:v>104921.74977744695</x:v>
      </x:c>
      <x:c r="J11" s="31" t="n">
        <x:v>73583.48456496674</x:v>
      </x:c>
      <x:c r="K11" s="31" t="n">
        <x:v>116133.49442919793</x:v>
      </x:c>
      <x:c r="L11" s="31" t="n">
        <x:v>317398.70003649016</x:v>
      </x:c>
      <x:c r="M11" s="31" t="n">
        <x:v>43421.79501667981</x:v>
      </x:c>
      <x:c r="N11" s="40" t="str">
        <x:v>https://documentos.fedea.net/data/eee/2021/eee2021-33.zip</x:v>
      </x:c>
    </x:row>
    <x:row r="12">
      <x:c r="A12" s="25" t="n">
        <x:v>2019</x:v>
      </x:c>
      <x:c r="B12" s="25" t="n">
        <x:v>2023</x:v>
      </x:c>
      <x:c r="C12" s="40" t="str">
        <x:v>Septimo informe - datos 2019-2020</x:v>
      </x:c>
      <x:c r="D12" s="40" t="str">
        <x:v>Renta bruta del hogar tras renta de mercado ampliada</x:v>
      </x:c>
      <x:c r="E12" s="31" t="n">
        <x:v>10023.169396037549</x:v>
      </x:c>
      <x:c r="F12" s="31" t="n">
        <x:v>22559.202065711248</x:v>
      </x:c>
      <x:c r="G12" s="31" t="n">
        <x:v>35485.09483235613</x:v>
      </x:c>
      <x:c r="H12" s="31" t="n">
        <x:v>53656.22746947258</x:v>
      </x:c>
      <x:c r="I12" s="31" t="n">
        <x:f>(J12*('Parametros'!$B$9-'Parametros'!$B$8)+K12*('Parametros'!$B$10-'Parametros'!$B$9)+L12*('Parametros'!$B$11-'Parametros'!$B$10))/('Parametros'!$B$11-'Parametros'!$B$8)</x:f>
        <x:v>113719.61957295539</x:v>
      </x:c>
      <x:c r="J12" s="31" t="n">
        <x:v>77633.88815905247</x:v>
      </x:c>
      <x:c r="K12" s="31" t="n">
        <x:v>122623.24008834647</x:v>
      </x:c>
      <x:c r="L12" s="31" t="n">
        <x:v>394444.34907346434</x:v>
      </x:c>
      <x:c r="M12" s="31" t="n">
        <x:v>47088.648983164196</x:v>
      </x:c>
      <x:c r="N12" s="40" t="str">
        <x:v>https://www.fedea.net/documentos/data/eee/2023/eee2023-01.zip</x:v>
      </x:c>
    </x:row>
    <x:row r="13">
      <x:c r="A13" s="25" t="n">
        <x:v>2020</x:v>
      </x:c>
      <x:c r="B13" s="25" t="n">
        <x:v>2023</x:v>
      </x:c>
      <x:c r="C13" s="40" t="str">
        <x:v>Septimo informe - datos 2019-2020</x:v>
      </x:c>
      <x:c r="D13" s="40" t="str">
        <x:v>Renta bruta del hogar tras renta de mercado ampliada</x:v>
      </x:c>
      <x:c r="E13" s="31" t="n">
        <x:v>9474.120749658756</x:v>
      </x:c>
      <x:c r="F13" s="31" t="n">
        <x:v>21799.788564088558</x:v>
      </x:c>
      <x:c r="G13" s="31" t="n">
        <x:v>34867.71675393533</x:v>
      </x:c>
      <x:c r="H13" s="31" t="n">
        <x:v>52879.121445676275</x:v>
      </x:c>
      <x:c r="I13" s="31" t="n">
        <x:f>(J13*('Parametros'!$B$9-'Parametros'!$B$8)+K13*('Parametros'!$B$10-'Parametros'!$B$9)+L13*('Parametros'!$B$11-'Parametros'!$B$10))/('Parametros'!$B$11-'Parametros'!$B$8)</x:f>
        <x:v>107033.2776656193</x:v>
      </x:c>
      <x:c r="J13" s="31" t="n">
        <x:v>77297.81233410524</x:v>
      </x:c>
      <x:c r="K13" s="31" t="n">
        <x:v>120792.96172784672</x:v>
      </x:c>
      <x:c r="L13" s="31" t="n">
        <x:v>280550.77442071284</x:v>
      </x:c>
      <x:c r="M13" s="31" t="n">
        <x:v>45210.79591676951</x:v>
      </x:c>
      <x:c r="N13" s="40" t="str">
        <x:v>https://www.fedea.net/documentos/data/eee/2023/eee2023-01.zip</x:v>
      </x:c>
    </x:row>
    <x:row r="14">
      <x:c r="A14" s="25" t="n">
        <x:v>2020</x:v>
      </x:c>
      <x:c r="B14" s="25" t="n">
        <x:v>2024</x:v>
      </x:c>
      <x:c r="C14" s="40" t="str">
        <x:v>Octavo informe - datos 2020-2021</x:v>
      </x:c>
      <x:c r="D14" s="40" t="str">
        <x:v>Renta bruta del hogar tras renta de mercado ampliada</x:v>
      </x:c>
      <x:c r="E14" s="31" t="n">
        <x:v>9474.120749658756</x:v>
      </x:c>
      <x:c r="F14" s="31" t="n">
        <x:v>21799.788564088558</x:v>
      </x:c>
      <x:c r="G14" s="31" t="n">
        <x:v>34867.71675393533</x:v>
      </x:c>
      <x:c r="H14" s="31" t="n">
        <x:v>52879.121445676275</x:v>
      </x:c>
      <x:c r="I14" s="31" t="n">
        <x:f>(J14*('Parametros'!$B$9-'Parametros'!$B$8)+K14*('Parametros'!$B$10-'Parametros'!$B$9)+L14*('Parametros'!$B$11-'Parametros'!$B$10))/('Parametros'!$B$11-'Parametros'!$B$8)</x:f>
        <x:v>107033.2776656193</x:v>
      </x:c>
      <x:c r="J14" s="31" t="n">
        <x:v>77297.81233410524</x:v>
      </x:c>
      <x:c r="K14" s="31" t="n">
        <x:v>120792.96172784672</x:v>
      </x:c>
      <x:c r="L14" s="31" t="n">
        <x:v>280550.77442071284</x:v>
      </x:c>
      <x:c r="M14" s="31" t="n">
        <x:v>45210.79591676951</x:v>
      </x:c>
      <x:c r="N14" s="40" t="str">
        <x:v>https://documentos.fedea.net/data/eee/2024/eee2024-04.zip</x:v>
      </x:c>
    </x:row>
    <x:row r="15">
      <x:c r="A15" s="25" t="n">
        <x:v>2021</x:v>
      </x:c>
      <x:c r="B15" s="25" t="n">
        <x:v>2024</x:v>
      </x:c>
      <x:c r="C15" s="40" t="str">
        <x:v>Octavo informe - datos 2020-2021</x:v>
      </x:c>
      <x:c r="D15" s="40" t="str">
        <x:v>Renta bruta del hogar tras renta de mercado ampliada</x:v>
      </x:c>
      <x:c r="E15" s="31" t="n">
        <x:v>10884.28710061886</x:v>
      </x:c>
      <x:c r="F15" s="31" t="n">
        <x:v>23842.882021483358</x:v>
      </x:c>
      <x:c r="G15" s="31" t="n">
        <x:v>37636.35247309475</x:v>
      </x:c>
      <x:c r="H15" s="31" t="n">
        <x:v>56605.78009475062</x:v>
      </x:c>
      <x:c r="I15" s="31" t="n">
        <x:f>(J15*('Parametros'!$B$9-'Parametros'!$B$8)+K15*('Parametros'!$B$10-'Parametros'!$B$9)+L15*('Parametros'!$B$11-'Parametros'!$B$10))/('Parametros'!$B$11-'Parametros'!$B$8)</x:f>
        <x:v>120213.23468892921</x:v>
      </x:c>
      <x:c r="J15" s="31" t="n">
        <x:v>81241.04807186141</x:v>
      </x:c>
      <x:c r="K15" s="31" t="n">
        <x:v>129514.01882613152</x:v>
      </x:c>
      <x:c r="L15" s="31" t="n">
        <x:v>426228.043624786</x:v>
      </x:c>
      <x:c r="M15" s="31" t="n">
        <x:v>49836.50257290408</x:v>
      </x:c>
      <x:c r="N15" s="40" t="str">
        <x:v>https://documentos.fedea.net/data/eee/2024/eee2024-04.zip</x:v>
      </x:c>
    </x:row>
    <x:row r="16">
      <x:c r="A16" s="25" t="n">
        <x:v>2021</x:v>
      </x:c>
      <x:c r="B16" s="25" t="n">
        <x:v>2025</x:v>
      </x:c>
      <x:c r="C16" s="40" t="str">
        <x:v>Noveno informe - datos 2021-2022</x:v>
      </x:c>
      <x:c r="D16" s="40" t="str">
        <x:v>Renta bruta del hogar tras renta de mercado ampliada</x:v>
      </x:c>
      <x:c r="E16" s="31" t="n">
        <x:v>10884.28710061886</x:v>
      </x:c>
      <x:c r="F16" s="31" t="n">
        <x:v>23842.882021483358</x:v>
      </x:c>
      <x:c r="G16" s="31" t="n">
        <x:v>37636.35247309475</x:v>
      </x:c>
      <x:c r="H16" s="31" t="n">
        <x:v>56605.78009475062</x:v>
      </x:c>
      <x:c r="I16" s="31" t="n">
        <x:f>(J16*('Parametros'!$B$9-'Parametros'!$B$8)+K16*('Parametros'!$B$10-'Parametros'!$B$9)+L16*('Parametros'!$B$11-'Parametros'!$B$10))/('Parametros'!$B$11-'Parametros'!$B$8)</x:f>
        <x:v>120213.23468892921</x:v>
      </x:c>
      <x:c r="J16" s="31" t="n">
        <x:v>81241.04807186141</x:v>
      </x:c>
      <x:c r="K16" s="31" t="n">
        <x:v>129514.01882613152</x:v>
      </x:c>
      <x:c r="L16" s="31" t="n">
        <x:v>426228.043624786</x:v>
      </x:c>
      <x:c r="M16" s="31" t="n">
        <x:v>49836.50257290408</x:v>
      </x:c>
      <x:c r="N16" s="40" t="str">
        <x:v>https://documentos.fedea.net/data/eee/2025/eee2025-02.zip</x:v>
      </x:c>
    </x:row>
    <x:row r="17">
      <x:c r="A17" s="25" t="n">
        <x:v>2022</x:v>
      </x:c>
      <x:c r="B17" s="25" t="n">
        <x:v>2025</x:v>
      </x:c>
      <x:c r="C17" s="40" t="str">
        <x:v>Noveno informe - datos 2021-2022</x:v>
      </x:c>
      <x:c r="D17" s="40" t="str">
        <x:v>Renta bruta del hogar tras renta de mercado ampliada</x:v>
      </x:c>
      <x:c r="E17" s="31" t="n">
        <x:v>12030.39099065999</x:v>
      </x:c>
      <x:c r="F17" s="31" t="n">
        <x:v>26955.723022518723</x:v>
      </x:c>
      <x:c r="G17" s="31" t="n">
        <x:v>41671.525247891535</x:v>
      </x:c>
      <x:c r="H17" s="31" t="n">
        <x:v>62667.35154575121</x:v>
      </x:c>
      <x:c r="I17" s="31" t="n">
        <x:f>(J17*('Parametros'!$B$9-'Parametros'!$B$8)+K17*('Parametros'!$B$10-'Parametros'!$B$9)+L17*('Parametros'!$B$11-'Parametros'!$B$10))/('Parametros'!$B$11-'Parametros'!$B$8)</x:f>
        <x:v>132362.62653668615</x:v>
      </x:c>
      <x:c r="J17" s="31" t="n">
        <x:v>89430.81786600313</x:v>
      </x:c>
      <x:c r="K17" s="31" t="n">
        <x:v>143053.1056717904</x:v>
      </x:c>
      <x:c r="L17" s="31" t="n">
        <x:v>465466.40102757746</x:v>
      </x:c>
      <x:c r="M17" s="31" t="n">
        <x:v>55137.47728264408</x:v>
      </x:c>
      <x:c r="N17" s="40" t="str">
        <x:v>https://documentos.fedea.net/data/eee/2025/eee2025-02.zip</x:v>
      </x:c>
    </x:row>
    <x:row r="18">
      <x:c r="A18" s="25" t="n">
        <x:v>2022</x:v>
      </x:c>
      <x:c r="B18" s="25" t="n">
        <x:v>2026</x:v>
      </x:c>
      <x:c r="C18" s="40" t="str">
        <x:v>Decimo informe - datos revisados 2022-2023</x:v>
      </x:c>
      <x:c r="D18" s="40" t="str">
        <x:v>Renta bruta del hogar tras renta de mercado ampliada</x:v>
      </x:c>
      <x:c r="E18" s="31" t="n">
        <x:v>12113.138631643073</x:v>
      </x:c>
      <x:c r="F18" s="31" t="n">
        <x:v>27025.227604313543</x:v>
      </x:c>
      <x:c r="G18" s="31" t="n">
        <x:v>41747.51424303121</x:v>
      </x:c>
      <x:c r="H18" s="31" t="n">
        <x:v>62726.01043662834</x:v>
      </x:c>
      <x:c r="I18" s="31" t="n">
        <x:f>(J18*('Parametros'!$B$9-'Parametros'!$B$8)+K18*('Parametros'!$B$10-'Parametros'!$B$9)+L18*('Parametros'!$B$11-'Parametros'!$B$10))/('Parametros'!$B$11-'Parametros'!$B$8)</x:f>
        <x:v>128504.35703696586</x:v>
      </x:c>
      <x:c r="J18" s="31" t="n">
        <x:v>89251.47451830872</x:v>
      </x:c>
      <x:c r="K18" s="31" t="n">
        <x:v>141438.13865663676</x:v>
      </x:c>
      <x:c r="L18" s="31" t="n">
        <x:v>404629.14764649916</x:v>
      </x:c>
      <x:c r="M18" s="31" t="n">
        <x:v>54423.24738099587</x:v>
      </x:c>
      <x:c r="N18" s="40" t="str">
        <x:v>https://fedea.net/documentos/data/eee/2026/eee2026-13.zip</x:v>
      </x:c>
    </x:row>
    <x:row r="19">
      <x:c r="A19" s="26" t="n">
        <x:v>2023</x:v>
      </x:c>
      <x:c r="B19" s="26" t="n">
        <x:v>2026</x:v>
      </x:c>
      <x:c r="C19" s="41" t="str">
        <x:v>Decimo informe - datos revisados 2022-2023</x:v>
      </x:c>
      <x:c r="D19" s="41" t="str">
        <x:v>Renta bruta del hogar tras renta de mercado ampliada</x:v>
      </x:c>
      <x:c r="E19" s="32" t="n">
        <x:v>13011.459959878539</x:v>
      </x:c>
      <x:c r="F19" s="32" t="n">
        <x:v>28842.358275763592</x:v>
      </x:c>
      <x:c r="G19" s="32" t="n">
        <x:v>44619.319962061134</x:v>
      </x:c>
      <x:c r="H19" s="32" t="n">
        <x:v>66619.75546771807</x:v>
      </x:c>
      <x:c r="I19" s="32" t="n">
        <x:f>(J19*('Parametros'!$B$9-'Parametros'!$B$8)+K19*('Parametros'!$B$10-'Parametros'!$B$9)+L19*('Parametros'!$B$11-'Parametros'!$B$10))/('Parametros'!$B$11-'Parametros'!$B$8)</x:f>
        <x:v>141342.33630313704</x:v>
      </x:c>
      <x:c r="J19" s="32" t="n">
        <x:v>95295.82665875259</x:v>
      </x:c>
      <x:c r="K19" s="32" t="n">
        <x:v>155296.34520456762</x:v>
      </x:c>
      <x:c r="L19" s="32" t="n">
        <x:v>476221.35263410606</x:v>
      </x:c>
      <x:c r="M19" s="32" t="n">
        <x:v>58887.03385095232</x:v>
      </x:c>
      <x:c r="N19" s="41" t="str">
        <x:v>https://fedea.net/documentos/data/eee/2026/eee2026-13.zip</x:v>
      </x:c>
    </x:row>
  </x:sheetData>
  <x:mergeCells>
    <x:mergeCell ref="A1:N1"/>
    <x:mergeCell ref="A2:N2"/>
  </x:mergeCells>
  <x:pageMargins left="0.7" right="0.7" top="0.75" bottom="0.75" header="0.3" footer="0.3"/>
  <x:tableParts count="1">
    <x:tablePart xmlns:r="http://schemas.openxmlformats.org/officeDocument/2006/relationships" r:id="R270f0e86491e4eb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0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0" hidden="0" customWidth="1"/>
    <x:col min="18" max="18" width="48" hidden="0" customWidth="1"/>
    <x:col min="19" max="19" width="34" hidden="0" customWidth="1"/>
    <x:col min="20" max="20" width="34" hidden="0" customWidth="1"/>
  </x:cols>
  <x:sheetData>
    <x:row r="1" ht="28" customHeight="1">
      <x:c r="A1" s="3" t="str">
        <x:v>Eurostat: renta disponible equivalente por quintiles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</x:row>
    <x:row r="2" ht="34" customHeight="1">
      <x:c r="A2" s="7" t="str">
        <x:v>Fuente oficial ECHP/EU-SILC. Las medias de Q1-Q5 se estiman como media total por cuota de renta dividida por 20%; las cuotas publicadas estan redondeadas. No es renta bruta del hogar.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</x:row>
    <x:row r="4" ht="36" customHeight="1">
      <x:c r="A4" s="13" t="str">
        <x:v>Ano encuesta</x:v>
      </x:c>
      <x:c r="B4" s="13" t="str">
        <x:v>Media renta neta equivalente</x:v>
      </x:c>
      <x:c r="C4" s="13" t="str">
        <x:v>Q1 media estimada</x:v>
      </x:c>
      <x:c r="D4" s="13" t="str">
        <x:v>Q2 media estimada</x:v>
      </x:c>
      <x:c r="E4" s="13" t="str">
        <x:v>Q3 media estimada</x:v>
      </x:c>
      <x:c r="F4" s="13" t="str">
        <x:v>Q4 media estimada</x:v>
      </x:c>
      <x:c r="G4" s="13" t="str">
        <x:v>Q5 media estimada</x:v>
      </x:c>
      <x:c r="H4" s="13" t="str">
        <x:v>Tope Q1</x:v>
      </x:c>
      <x:c r="I4" s="13" t="str">
        <x:v>Tope Q2</x:v>
      </x:c>
      <x:c r="J4" s="13" t="str">
        <x:v>Tope Q3</x:v>
      </x:c>
      <x:c r="K4" s="13" t="str">
        <x:v>Tope Q4</x:v>
      </x:c>
      <x:c r="L4" s="13" t="str">
        <x:v>Cuota renta Q1</x:v>
      </x:c>
      <x:c r="M4" s="13" t="str">
        <x:v>Cuota renta Q2</x:v>
      </x:c>
      <x:c r="N4" s="13" t="str">
        <x:v>Cuota renta Q3</x:v>
      </x:c>
      <x:c r="O4" s="13" t="str">
        <x:v>Cuota renta Q4</x:v>
      </x:c>
      <x:c r="P4" s="13" t="str">
        <x:v>Cuota renta Q5</x:v>
      </x:c>
      <x:c r="Q4" s="13" t="str">
        <x:v>Bandera</x:v>
      </x:c>
      <x:c r="R4" s="13" t="str">
        <x:v>Nota</x:v>
      </x:c>
      <x:c r="S4" s="13" t="str">
        <x:v>Fuente cuantiles URL</x:v>
      </x:c>
      <x:c r="T4" s="13" t="str">
        <x:v>Fuente media URL</x:v>
      </x:c>
    </x:row>
    <x:row r="5">
      <x:c r="A5" s="46" t="n">
        <x:v>1990</x:v>
      </x:c>
      <x:c r="B5" s="47"/>
      <x:c r="C5" s="47" t="str">
        <x:f>IF(L5="","",B5*L5/'Parametros'!$B$5)</x:f>
      </x:c>
      <x:c r="D5" s="47" t="str">
        <x:f>IF(M5="","",B5*M5/'Parametros'!$B$5)</x:f>
      </x:c>
      <x:c r="E5" s="47" t="str">
        <x:f>IF(N5="","",B5*N5/'Parametros'!$B$5)</x:f>
      </x:c>
      <x:c r="F5" s="47" t="str">
        <x:f>IF(O5="","",B5*O5/'Parametros'!$B$5)</x:f>
      </x:c>
      <x:c r="G5" s="47" t="str">
        <x:f>IF(P5="","",B5*P5/'Parametros'!$B$5)</x:f>
      </x:c>
      <x:c r="H5" s="47"/>
      <x:c r="I5" s="47"/>
      <x:c r="J5" s="47"/>
      <x:c r="K5" s="47"/>
      <x:c r="L5" s="48"/>
      <x:c r="M5" s="48"/>
      <x:c r="N5" s="48"/>
      <x:c r="O5" s="48"/>
      <x:c r="P5" s="48"/>
      <x:c r="Q5" s="49" t="str"/>
      <x:c r="R5" s="49" t="str">
        <x:v>Sin dato: Eurostat inicia esta serie para Espana en 1995.</x:v>
      </x:c>
      <x:c r="S5" s="49" t="str">
        <x:v>https://ec.europa.eu/eurostat/api/dissemination/statistics/1.0/data/ilc_di01?geo=ES&amp;lang=en</x:v>
      </x:c>
      <x:c r="T5" s="49" t="str">
        <x:v>https://ec.europa.eu/eurostat/api/dissemination/statistics/1.0/data/ilc_di03?geo=ES&amp;lang=en</x:v>
      </x:c>
    </x:row>
    <x:row r="6">
      <x:c r="A6" s="42" t="n">
        <x:v>1991</x:v>
      </x:c>
      <x:c r="B6" s="44"/>
      <x:c r="C6" s="44" t="str">
        <x:f>IF(L6="","",B6*L6/'Parametros'!$B$5)</x:f>
      </x:c>
      <x:c r="D6" s="44" t="str">
        <x:f>IF(M6="","",B6*M6/'Parametros'!$B$5)</x:f>
      </x:c>
      <x:c r="E6" s="44" t="str">
        <x:f>IF(N6="","",B6*N6/'Parametros'!$B$5)</x:f>
      </x:c>
      <x:c r="F6" s="44" t="str">
        <x:f>IF(O6="","",B6*O6/'Parametros'!$B$5)</x:f>
      </x:c>
      <x:c r="G6" s="44" t="str">
        <x:f>IF(P6="","",B6*P6/'Parametros'!$B$5)</x:f>
      </x:c>
      <x:c r="H6" s="44"/>
      <x:c r="I6" s="44"/>
      <x:c r="J6" s="44"/>
      <x:c r="K6" s="44"/>
      <x:c r="L6" s="50"/>
      <x:c r="M6" s="50"/>
      <x:c r="N6" s="50"/>
      <x:c r="O6" s="50"/>
      <x:c r="P6" s="50"/>
      <x:c r="Q6" s="45" t="str"/>
      <x:c r="R6" s="45" t="str">
        <x:v>Sin dato: Eurostat inicia esta serie para Espana en 1995.</x:v>
      </x:c>
      <x:c r="S6" s="45" t="str">
        <x:v>https://ec.europa.eu/eurostat/api/dissemination/statistics/1.0/data/ilc_di01?geo=ES&amp;lang=en</x:v>
      </x:c>
      <x:c r="T6" s="45" t="str">
        <x:v>https://ec.europa.eu/eurostat/api/dissemination/statistics/1.0/data/ilc_di03?geo=ES&amp;lang=en</x:v>
      </x:c>
    </x:row>
    <x:row r="7">
      <x:c r="A7" s="42" t="n">
        <x:v>1992</x:v>
      </x:c>
      <x:c r="B7" s="44"/>
      <x:c r="C7" s="44" t="str">
        <x:f>IF(L7="","",B7*L7/'Parametros'!$B$5)</x:f>
      </x:c>
      <x:c r="D7" s="44" t="str">
        <x:f>IF(M7="","",B7*M7/'Parametros'!$B$5)</x:f>
      </x:c>
      <x:c r="E7" s="44" t="str">
        <x:f>IF(N7="","",B7*N7/'Parametros'!$B$5)</x:f>
      </x:c>
      <x:c r="F7" s="44" t="str">
        <x:f>IF(O7="","",B7*O7/'Parametros'!$B$5)</x:f>
      </x:c>
      <x:c r="G7" s="44" t="str">
        <x:f>IF(P7="","",B7*P7/'Parametros'!$B$5)</x:f>
      </x:c>
      <x:c r="H7" s="44"/>
      <x:c r="I7" s="44"/>
      <x:c r="J7" s="44"/>
      <x:c r="K7" s="44"/>
      <x:c r="L7" s="50"/>
      <x:c r="M7" s="50"/>
      <x:c r="N7" s="50"/>
      <x:c r="O7" s="50"/>
      <x:c r="P7" s="50"/>
      <x:c r="Q7" s="45" t="str"/>
      <x:c r="R7" s="45" t="str">
        <x:v>Sin dato: Eurostat inicia esta serie para Espana en 1995.</x:v>
      </x:c>
      <x:c r="S7" s="45" t="str">
        <x:v>https://ec.europa.eu/eurostat/api/dissemination/statistics/1.0/data/ilc_di01?geo=ES&amp;lang=en</x:v>
      </x:c>
      <x:c r="T7" s="45" t="str">
        <x:v>https://ec.europa.eu/eurostat/api/dissemination/statistics/1.0/data/ilc_di03?geo=ES&amp;lang=en</x:v>
      </x:c>
    </x:row>
    <x:row r="8">
      <x:c r="A8" s="42" t="n">
        <x:v>1993</x:v>
      </x:c>
      <x:c r="B8" s="44"/>
      <x:c r="C8" s="44" t="str">
        <x:f>IF(L8="","",B8*L8/'Parametros'!$B$5)</x:f>
      </x:c>
      <x:c r="D8" s="44" t="str">
        <x:f>IF(M8="","",B8*M8/'Parametros'!$B$5)</x:f>
      </x:c>
      <x:c r="E8" s="44" t="str">
        <x:f>IF(N8="","",B8*N8/'Parametros'!$B$5)</x:f>
      </x:c>
      <x:c r="F8" s="44" t="str">
        <x:f>IF(O8="","",B8*O8/'Parametros'!$B$5)</x:f>
      </x:c>
      <x:c r="G8" s="44" t="str">
        <x:f>IF(P8="","",B8*P8/'Parametros'!$B$5)</x:f>
      </x:c>
      <x:c r="H8" s="44"/>
      <x:c r="I8" s="44"/>
      <x:c r="J8" s="44"/>
      <x:c r="K8" s="44"/>
      <x:c r="L8" s="50"/>
      <x:c r="M8" s="50"/>
      <x:c r="N8" s="50"/>
      <x:c r="O8" s="50"/>
      <x:c r="P8" s="50"/>
      <x:c r="Q8" s="45" t="str"/>
      <x:c r="R8" s="45" t="str">
        <x:v>Sin dato: Eurostat inicia esta serie para Espana en 1995.</x:v>
      </x:c>
      <x:c r="S8" s="45" t="str">
        <x:v>https://ec.europa.eu/eurostat/api/dissemination/statistics/1.0/data/ilc_di01?geo=ES&amp;lang=en</x:v>
      </x:c>
      <x:c r="T8" s="45" t="str">
        <x:v>https://ec.europa.eu/eurostat/api/dissemination/statistics/1.0/data/ilc_di03?geo=ES&amp;lang=en</x:v>
      </x:c>
    </x:row>
    <x:row r="9">
      <x:c r="A9" s="42" t="n">
        <x:v>1994</x:v>
      </x:c>
      <x:c r="B9" s="44"/>
      <x:c r="C9" s="44" t="str">
        <x:f>IF(L9="","",B9*L9/'Parametros'!$B$5)</x:f>
      </x:c>
      <x:c r="D9" s="44" t="str">
        <x:f>IF(M9="","",B9*M9/'Parametros'!$B$5)</x:f>
      </x:c>
      <x:c r="E9" s="44" t="str">
        <x:f>IF(N9="","",B9*N9/'Parametros'!$B$5)</x:f>
      </x:c>
      <x:c r="F9" s="44" t="str">
        <x:f>IF(O9="","",B9*O9/'Parametros'!$B$5)</x:f>
      </x:c>
      <x:c r="G9" s="44" t="str">
        <x:f>IF(P9="","",B9*P9/'Parametros'!$B$5)</x:f>
      </x:c>
      <x:c r="H9" s="44"/>
      <x:c r="I9" s="44"/>
      <x:c r="J9" s="44"/>
      <x:c r="K9" s="44"/>
      <x:c r="L9" s="50"/>
      <x:c r="M9" s="50"/>
      <x:c r="N9" s="50"/>
      <x:c r="O9" s="50"/>
      <x:c r="P9" s="50"/>
      <x:c r="Q9" s="45" t="str"/>
      <x:c r="R9" s="45" t="str">
        <x:v>Sin dato: Eurostat inicia esta serie para Espana en 1995.</x:v>
      </x:c>
      <x:c r="S9" s="45" t="str">
        <x:v>https://ec.europa.eu/eurostat/api/dissemination/statistics/1.0/data/ilc_di01?geo=ES&amp;lang=en</x:v>
      </x:c>
      <x:c r="T9" s="45" t="str">
        <x:v>https://ec.europa.eu/eurostat/api/dissemination/statistics/1.0/data/ilc_di03?geo=ES&amp;lang=en</x:v>
      </x:c>
    </x:row>
    <x:row r="10">
      <x:c r="A10" s="25" t="n">
        <x:v>1995</x:v>
      </x:c>
      <x:c r="B10" s="31" t="n">
        <x:v>7445</x:v>
      </x:c>
      <x:c r="C10" s="31" t="n">
        <x:f>IF(L10="","",B10*L10/'Parametros'!$B$5)</x:f>
        <x:v>2605.7500000000005</x:v>
      </x:c>
      <x:c r="D10" s="31" t="n">
        <x:f>IF(M10="","",B10*M10/'Parametros'!$B$5)</x:f>
        <x:v>4467</x:v>
      </x:c>
      <x:c r="E10" s="31" t="n">
        <x:f>IF(N10="","",B10*N10/'Parametros'!$B$5)</x:f>
        <x:v>6328.25</x:v>
      </x:c>
      <x:c r="F10" s="31" t="n">
        <x:f>IF(O10="","",B10*O10/'Parametros'!$B$5)</x:f>
        <x:v>8561.75</x:v>
      </x:c>
      <x:c r="G10" s="31" t="n">
        <x:f>IF(P10="","",B10*P10/'Parametros'!$B$5)</x:f>
        <x:v>15262.249999999998</x:v>
      </x:c>
      <x:c r="H10" s="31" t="n">
        <x:v>3788</x:v>
      </x:c>
      <x:c r="I10" s="31" t="n">
        <x:v>5346</x:v>
      </x:c>
      <x:c r="J10" s="31" t="n">
        <x:v>7243</x:v>
      </x:c>
      <x:c r="K10" s="31" t="n">
        <x:v>10440</x:v>
      </x:c>
      <x:c r="L10" s="34" t="n">
        <x:v>0.07</x:v>
      </x:c>
      <x:c r="M10" s="34" t="n">
        <x:v>0.12</x:v>
      </x:c>
      <x:c r="N10" s="34" t="n">
        <x:v>0.17</x:v>
      </x:c>
      <x:c r="O10" s="34" t="n">
        <x:v>0.23</x:v>
      </x:c>
      <x:c r="P10" s="34" t="n">
        <x:v>0.41</x:v>
      </x:c>
      <x:c r="Q10" s="40" t="str"/>
      <x:c r="R10" s="40" t="str"/>
      <x:c r="S10" s="40" t="str">
        <x:v>https://ec.europa.eu/eurostat/api/dissemination/statistics/1.0/data/ilc_di01?geo=ES&amp;lang=en</x:v>
      </x:c>
      <x:c r="T10" s="40" t="str">
        <x:v>https://ec.europa.eu/eurostat/api/dissemination/statistics/1.0/data/ilc_di03?geo=ES&amp;lang=en</x:v>
      </x:c>
    </x:row>
    <x:row r="11">
      <x:c r="A11" s="25" t="n">
        <x:v>1996</x:v>
      </x:c>
      <x:c r="B11" s="31" t="n">
        <x:v>7606</x:v>
      </x:c>
      <x:c r="C11" s="31" t="n">
        <x:f>IF(L11="","",B11*L11/'Parametros'!$B$5)</x:f>
        <x:v>2662.1000000000004</x:v>
      </x:c>
      <x:c r="D11" s="31" t="n">
        <x:f>IF(M11="","",B11*M11/'Parametros'!$B$5)</x:f>
        <x:v>4563.599999999999</x:v>
      </x:c>
      <x:c r="E11" s="31" t="n">
        <x:f>IF(N11="","",B11*N11/'Parametros'!$B$5)</x:f>
        <x:v>6465.099999999999</x:v>
      </x:c>
      <x:c r="F11" s="31" t="n">
        <x:f>IF(O11="","",B11*O11/'Parametros'!$B$5)</x:f>
        <x:v>8746.9</x:v>
      </x:c>
      <x:c r="G11" s="31" t="n">
        <x:f>IF(P11="","",B11*P11/'Parametros'!$B$5)</x:f>
        <x:v>15592.3</x:v>
      </x:c>
      <x:c r="H11" s="31" t="n">
        <x:v>3891</x:v>
      </x:c>
      <x:c r="I11" s="31" t="n">
        <x:v>5425</x:v>
      </x:c>
      <x:c r="J11" s="31" t="n">
        <x:v>7239</x:v>
      </x:c>
      <x:c r="K11" s="31" t="n">
        <x:v>10396</x:v>
      </x:c>
      <x:c r="L11" s="34" t="n">
        <x:v>0.07</x:v>
      </x:c>
      <x:c r="M11" s="34" t="n">
        <x:v>0.12</x:v>
      </x:c>
      <x:c r="N11" s="34" t="n">
        <x:v>0.17</x:v>
      </x:c>
      <x:c r="O11" s="34" t="n">
        <x:v>0.23</x:v>
      </x:c>
      <x:c r="P11" s="34" t="n">
        <x:v>0.41</x:v>
      </x:c>
      <x:c r="Q11" s="40" t="str"/>
      <x:c r="R11" s="40" t="str"/>
      <x:c r="S11" s="40" t="str">
        <x:v>https://ec.europa.eu/eurostat/api/dissemination/statistics/1.0/data/ilc_di01?geo=ES&amp;lang=en</x:v>
      </x:c>
      <x:c r="T11" s="40" t="str">
        <x:v>https://ec.europa.eu/eurostat/api/dissemination/statistics/1.0/data/ilc_di03?geo=ES&amp;lang=en</x:v>
      </x:c>
    </x:row>
    <x:row r="12">
      <x:c r="A12" s="25" t="n">
        <x:v>1997</x:v>
      </x:c>
      <x:c r="B12" s="31" t="n">
        <x:v>8019</x:v>
      </x:c>
      <x:c r="C12" s="31" t="n">
        <x:f>IF(L12="","",B12*L12/'Parametros'!$B$5)</x:f>
        <x:v>2405.7</x:v>
      </x:c>
      <x:c r="D12" s="31" t="n">
        <x:f>IF(M12="","",B12*M12/'Parametros'!$B$5)</x:f>
        <x:v>4811.4</x:v>
      </x:c>
      <x:c r="E12" s="31" t="n">
        <x:f>IF(N12="","",B12*N12/'Parametros'!$B$5)</x:f>
        <x:v>6816.15</x:v>
      </x:c>
      <x:c r="F12" s="31" t="n">
        <x:f>IF(O12="","",B12*O12/'Parametros'!$B$5)</x:f>
        <x:v>9221.85</x:v>
      </x:c>
      <x:c r="G12" s="31" t="n">
        <x:f>IF(P12="","",B12*P12/'Parametros'!$B$5)</x:f>
        <x:v>16839.899999999998</x:v>
      </x:c>
      <x:c r="H12" s="31" t="n">
        <x:v>3925</x:v>
      </x:c>
      <x:c r="I12" s="31" t="n">
        <x:v>5719</x:v>
      </x:c>
      <x:c r="J12" s="31" t="n">
        <x:v>7650</x:v>
      </x:c>
      <x:c r="K12" s="31" t="n">
        <x:v>11198</x:v>
      </x:c>
      <x:c r="L12" s="34" t="n">
        <x:v>0.06</x:v>
      </x:c>
      <x:c r="M12" s="34" t="n">
        <x:v>0.12</x:v>
      </x:c>
      <x:c r="N12" s="34" t="n">
        <x:v>0.17</x:v>
      </x:c>
      <x:c r="O12" s="34" t="n">
        <x:v>0.23</x:v>
      </x:c>
      <x:c r="P12" s="34" t="n">
        <x:v>0.42</x:v>
      </x:c>
      <x:c r="Q12" s="40" t="str"/>
      <x:c r="R12" s="40" t="str"/>
      <x:c r="S12" s="40" t="str">
        <x:v>https://ec.europa.eu/eurostat/api/dissemination/statistics/1.0/data/ilc_di01?geo=ES&amp;lang=en</x:v>
      </x:c>
      <x:c r="T12" s="40" t="str">
        <x:v>https://ec.europa.eu/eurostat/api/dissemination/statistics/1.0/data/ilc_di03?geo=ES&amp;lang=en</x:v>
      </x:c>
    </x:row>
    <x:row r="13">
      <x:c r="A13" s="25" t="n">
        <x:v>1998</x:v>
      </x:c>
      <x:c r="B13" s="31" t="n">
        <x:v>8235</x:v>
      </x:c>
      <x:c r="C13" s="31" t="n">
        <x:f>IF(L13="","",B13*L13/'Parametros'!$B$5)</x:f>
        <x:v>2882.25</x:v>
      </x:c>
      <x:c r="D13" s="31" t="n">
        <x:f>IF(M13="","",B13*M13/'Parametros'!$B$5)</x:f>
        <x:v>4940.999999999999</x:v>
      </x:c>
      <x:c r="E13" s="31" t="n">
        <x:f>IF(N13="","",B13*N13/'Parametros'!$B$5)</x:f>
        <x:v>6999.75</x:v>
      </x:c>
      <x:c r="F13" s="31" t="n">
        <x:f>IF(O13="","",B13*O13/'Parametros'!$B$5)</x:f>
        <x:v>9470.25</x:v>
      </x:c>
      <x:c r="G13" s="31" t="n">
        <x:f>IF(P13="","",B13*P13/'Parametros'!$B$5)</x:f>
        <x:v>16881.75</x:v>
      </x:c>
      <x:c r="H13" s="31" t="n">
        <x:v>4246</x:v>
      </x:c>
      <x:c r="I13" s="31" t="n">
        <x:v>5932</x:v>
      </x:c>
      <x:c r="J13" s="31" t="n">
        <x:v>7867</x:v>
      </x:c>
      <x:c r="K13" s="31" t="n">
        <x:v>11531</x:v>
      </x:c>
      <x:c r="L13" s="34" t="n">
        <x:v>0.07</x:v>
      </x:c>
      <x:c r="M13" s="34" t="n">
        <x:v>0.12</x:v>
      </x:c>
      <x:c r="N13" s="34" t="n">
        <x:v>0.17</x:v>
      </x:c>
      <x:c r="O13" s="34" t="n">
        <x:v>0.23</x:v>
      </x:c>
      <x:c r="P13" s="34" t="n">
        <x:v>0.41</x:v>
      </x:c>
      <x:c r="Q13" s="40" t="str"/>
      <x:c r="R13" s="40" t="str"/>
      <x:c r="S13" s="40" t="str">
        <x:v>https://ec.europa.eu/eurostat/api/dissemination/statistics/1.0/data/ilc_di01?geo=ES&amp;lang=en</x:v>
      </x:c>
      <x:c r="T13" s="40" t="str">
        <x:v>https://ec.europa.eu/eurostat/api/dissemination/statistics/1.0/data/ilc_di03?geo=ES&amp;lang=en</x:v>
      </x:c>
    </x:row>
    <x:row r="14">
      <x:c r="A14" s="25" t="n">
        <x:v>1999</x:v>
      </x:c>
      <x:c r="B14" s="31" t="n">
        <x:v>8905</x:v>
      </x:c>
      <x:c r="C14" s="31" t="n">
        <x:f>IF(L14="","",B14*L14/'Parametros'!$B$5)</x:f>
        <x:v>3116.75</x:v>
      </x:c>
      <x:c r="D14" s="31" t="n">
        <x:f>IF(M14="","",B14*M14/'Parametros'!$B$5)</x:f>
        <x:v>5788.25</x:v>
      </x:c>
      <x:c r="E14" s="31" t="n">
        <x:f>IF(N14="","",B14*N14/'Parametros'!$B$5)</x:f>
        <x:v>7569.25</x:v>
      </x:c>
      <x:c r="F14" s="31" t="n">
        <x:f>IF(O14="","",B14*O14/'Parametros'!$B$5)</x:f>
        <x:v>10240.75</x:v>
      </x:c>
      <x:c r="G14" s="31" t="n">
        <x:f>IF(P14="","",B14*P14/'Parametros'!$B$5)</x:f>
        <x:v>17810</x:v>
      </x:c>
      <x:c r="H14" s="31" t="n">
        <x:v>4600</x:v>
      </x:c>
      <x:c r="I14" s="31" t="n">
        <x:v>6511</x:v>
      </x:c>
      <x:c r="J14" s="31" t="n">
        <x:v>8667</x:v>
      </x:c>
      <x:c r="K14" s="31" t="n">
        <x:v>12278</x:v>
      </x:c>
      <x:c r="L14" s="34" t="n">
        <x:v>0.07</x:v>
      </x:c>
      <x:c r="M14" s="34" t="n">
        <x:v>0.13</x:v>
      </x:c>
      <x:c r="N14" s="34" t="n">
        <x:v>0.17</x:v>
      </x:c>
      <x:c r="O14" s="34" t="n">
        <x:v>0.23</x:v>
      </x:c>
      <x:c r="P14" s="34" t="n">
        <x:v>0.4</x:v>
      </x:c>
      <x:c r="Q14" s="40" t="str"/>
      <x:c r="R14" s="40" t="str"/>
      <x:c r="S14" s="40" t="str">
        <x:v>https://ec.europa.eu/eurostat/api/dissemination/statistics/1.0/data/ilc_di01?geo=ES&amp;lang=en</x:v>
      </x:c>
      <x:c r="T14" s="40" t="str">
        <x:v>https://ec.europa.eu/eurostat/api/dissemination/statistics/1.0/data/ilc_di03?geo=ES&amp;lang=en</x:v>
      </x:c>
    </x:row>
    <x:row r="15">
      <x:c r="A15" s="25" t="n">
        <x:v>2000</x:v>
      </x:c>
      <x:c r="B15" s="31" t="n">
        <x:v>9762</x:v>
      </x:c>
      <x:c r="C15" s="31" t="n">
        <x:f>IF(L15="","",B15*L15/'Parametros'!$B$5)</x:f>
        <x:v>3416.7</x:v>
      </x:c>
      <x:c r="D15" s="31" t="n">
        <x:f>IF(M15="","",B15*M15/'Parametros'!$B$5)</x:f>
        <x:v>6345.299999999999</x:v>
      </x:c>
      <x:c r="E15" s="31" t="n">
        <x:f>IF(N15="","",B15*N15/'Parametros'!$B$5)</x:f>
        <x:v>8297.7</x:v>
      </x:c>
      <x:c r="F15" s="31" t="n">
        <x:f>IF(O15="","",B15*O15/'Parametros'!$B$5)</x:f>
        <x:v>11226.300000000001</x:v>
      </x:c>
      <x:c r="G15" s="31" t="n">
        <x:f>IF(P15="","",B15*P15/'Parametros'!$B$5)</x:f>
        <x:v>19524</x:v>
      </x:c>
      <x:c r="H15" s="31" t="n">
        <x:v>5135</x:v>
      </x:c>
      <x:c r="I15" s="31" t="n">
        <x:v>7175</x:v>
      </x:c>
      <x:c r="J15" s="31" t="n">
        <x:v>9451</x:v>
      </x:c>
      <x:c r="K15" s="31" t="n">
        <x:v>13246</x:v>
      </x:c>
      <x:c r="L15" s="34" t="n">
        <x:v>0.07</x:v>
      </x:c>
      <x:c r="M15" s="34" t="n">
        <x:v>0.13</x:v>
      </x:c>
      <x:c r="N15" s="34" t="n">
        <x:v>0.17</x:v>
      </x:c>
      <x:c r="O15" s="34" t="n">
        <x:v>0.23</x:v>
      </x:c>
      <x:c r="P15" s="34" t="n">
        <x:v>0.4</x:v>
      </x:c>
      <x:c r="Q15" s="40" t="str"/>
      <x:c r="R15" s="40" t="str"/>
      <x:c r="S15" s="40" t="str">
        <x:v>https://ec.europa.eu/eurostat/api/dissemination/statistics/1.0/data/ilc_di01?geo=ES&amp;lang=en</x:v>
      </x:c>
      <x:c r="T15" s="40" t="str">
        <x:v>https://ec.europa.eu/eurostat/api/dissemination/statistics/1.0/data/ilc_di03?geo=ES&amp;lang=en</x:v>
      </x:c>
    </x:row>
    <x:row r="16">
      <x:c r="A16" s="25" t="n">
        <x:v>2001</x:v>
      </x:c>
      <x:c r="B16" s="31" t="n">
        <x:v>10602</x:v>
      </x:c>
      <x:c r="C16" s="31" t="n">
        <x:f>IF(L16="","",B16*L16/'Parametros'!$B$5)</x:f>
        <x:v>3710.7000000000003</x:v>
      </x:c>
      <x:c r="D16" s="31" t="n">
        <x:f>IF(M16="","",B16*M16/'Parametros'!$B$5)</x:f>
        <x:v>6891.299999999999</x:v>
      </x:c>
      <x:c r="E16" s="31" t="n">
        <x:f>IF(N16="","",B16*N16/'Parametros'!$B$5)</x:f>
        <x:v>9011.7</x:v>
      </x:c>
      <x:c r="F16" s="31" t="n">
        <x:f>IF(O16="","",B16*O16/'Parametros'!$B$5)</x:f>
        <x:v>12192.3</x:v>
      </x:c>
      <x:c r="G16" s="31" t="n">
        <x:f>IF(P16="","",B16*P16/'Parametros'!$B$5)</x:f>
        <x:v>21204</x:v>
      </x:c>
      <x:c r="H16" s="31" t="n">
        <x:v>5571</x:v>
      </x:c>
      <x:c r="I16" s="31" t="n">
        <x:v>7741</x:v>
      </x:c>
      <x:c r="J16" s="31" t="n">
        <x:v>10322</x:v>
      </x:c>
      <x:c r="K16" s="31" t="n">
        <x:v>14198</x:v>
      </x:c>
      <x:c r="L16" s="34" t="n">
        <x:v>0.07</x:v>
      </x:c>
      <x:c r="M16" s="34" t="n">
        <x:v>0.13</x:v>
      </x:c>
      <x:c r="N16" s="34" t="n">
        <x:v>0.17</x:v>
      </x:c>
      <x:c r="O16" s="34" t="n">
        <x:v>0.23</x:v>
      </x:c>
      <x:c r="P16" s="34" t="n">
        <x:v>0.4</x:v>
      </x:c>
      <x:c r="Q16" s="40" t="str"/>
      <x:c r="R16" s="40" t="str"/>
      <x:c r="S16" s="40" t="str">
        <x:v>https://ec.europa.eu/eurostat/api/dissemination/statistics/1.0/data/ilc_di01?geo=ES&amp;lang=en</x:v>
      </x:c>
      <x:c r="T16" s="40" t="str">
        <x:v>https://ec.europa.eu/eurostat/api/dissemination/statistics/1.0/data/ilc_di03?geo=ES&amp;lang=en</x:v>
      </x:c>
    </x:row>
    <x:row r="17">
      <x:c r="A17" s="42" t="n">
        <x:v>2002</x:v>
      </x:c>
      <x:c r="B17" s="44"/>
      <x:c r="C17" s="44" t="str">
        <x:f>IF(L17="","",B17*L17/'Parametros'!$B$5)</x:f>
      </x:c>
      <x:c r="D17" s="44" t="str">
        <x:f>IF(M17="","",B17*M17/'Parametros'!$B$5)</x:f>
      </x:c>
      <x:c r="E17" s="44" t="str">
        <x:f>IF(N17="","",B17*N17/'Parametros'!$B$5)</x:f>
      </x:c>
      <x:c r="F17" s="44" t="str">
        <x:f>IF(O17="","",B17*O17/'Parametros'!$B$5)</x:f>
      </x:c>
      <x:c r="G17" s="44" t="str">
        <x:f>IF(P17="","",B17*P17/'Parametros'!$B$5)</x:f>
      </x:c>
      <x:c r="H17" s="44"/>
      <x:c r="I17" s="44"/>
      <x:c r="J17" s="44"/>
      <x:c r="K17" s="44"/>
      <x:c r="L17" s="50"/>
      <x:c r="M17" s="50"/>
      <x:c r="N17" s="50"/>
      <x:c r="O17" s="50"/>
      <x:c r="P17" s="50"/>
      <x:c r="Q17" s="45" t="str"/>
      <x:c r="R17" s="45" t="str">
        <x:v>Sin dato: hueco entre el PHOGUE/ECHP y la ECV/EU-SILC.</x:v>
      </x:c>
      <x:c r="S17" s="45" t="str">
        <x:v>https://ec.europa.eu/eurostat/api/dissemination/statistics/1.0/data/ilc_di01?geo=ES&amp;lang=en</x:v>
      </x:c>
      <x:c r="T17" s="45" t="str">
        <x:v>https://ec.europa.eu/eurostat/api/dissemination/statistics/1.0/data/ilc_di03?geo=ES&amp;lang=en</x:v>
      </x:c>
    </x:row>
    <x:row r="18">
      <x:c r="A18" s="42" t="n">
        <x:v>2003</x:v>
      </x:c>
      <x:c r="B18" s="44"/>
      <x:c r="C18" s="44" t="str">
        <x:f>IF(L18="","",B18*L18/'Parametros'!$B$5)</x:f>
      </x:c>
      <x:c r="D18" s="44" t="str">
        <x:f>IF(M18="","",B18*M18/'Parametros'!$B$5)</x:f>
      </x:c>
      <x:c r="E18" s="44" t="str">
        <x:f>IF(N18="","",B18*N18/'Parametros'!$B$5)</x:f>
      </x:c>
      <x:c r="F18" s="44" t="str">
        <x:f>IF(O18="","",B18*O18/'Parametros'!$B$5)</x:f>
      </x:c>
      <x:c r="G18" s="44" t="str">
        <x:f>IF(P18="","",B18*P18/'Parametros'!$B$5)</x:f>
      </x:c>
      <x:c r="H18" s="44"/>
      <x:c r="I18" s="44"/>
      <x:c r="J18" s="44"/>
      <x:c r="K18" s="44"/>
      <x:c r="L18" s="50"/>
      <x:c r="M18" s="50"/>
      <x:c r="N18" s="50"/>
      <x:c r="O18" s="50"/>
      <x:c r="P18" s="50"/>
      <x:c r="Q18" s="45" t="str"/>
      <x:c r="R18" s="45" t="str">
        <x:v>Sin dato: hueco entre el PHOGUE/ECHP y la ECV/EU-SILC.</x:v>
      </x:c>
      <x:c r="S18" s="45" t="str">
        <x:v>https://ec.europa.eu/eurostat/api/dissemination/statistics/1.0/data/ilc_di01?geo=ES&amp;lang=en</x:v>
      </x:c>
      <x:c r="T18" s="45" t="str">
        <x:v>https://ec.europa.eu/eurostat/api/dissemination/statistics/1.0/data/ilc_di03?geo=ES&amp;lang=en</x:v>
      </x:c>
    </x:row>
    <x:row r="19">
      <x:c r="A19" s="25" t="n">
        <x:v>2004</x:v>
      </x:c>
      <x:c r="B19" s="31" t="n">
        <x:v>11621</x:v>
      </x:c>
      <x:c r="C19" s="31" t="n">
        <x:f>IF(L19="","",B19*L19/'Parametros'!$B$5)</x:f>
        <x:v>4241.665</x:v>
      </x:c>
      <x:c r="D19" s="31" t="n">
        <x:f>IF(M19="","",B19*M19/'Parametros'!$B$5)</x:f>
        <x:v>7553.65</x:v>
      </x:c>
      <x:c r="E19" s="31" t="n">
        <x:f>IF(N19="","",B19*N19/'Parametros'!$B$5)</x:f>
        <x:v>10342.689999999999</x:v>
      </x:c>
      <x:c r="F19" s="31" t="n">
        <x:f>IF(O19="","",B19*O19/'Parametros'!$B$5)</x:f>
        <x:v>13654.675</x:v>
      </x:c>
      <x:c r="G19" s="31" t="n">
        <x:f>IF(P19="","",B19*P19/'Parametros'!$B$5)</x:f>
        <x:v>22254.214999999997</x:v>
      </x:c>
      <x:c r="H19" s="31" t="n">
        <x:v>6180</x:v>
      </x:c>
      <x:c r="I19" s="31" t="n">
        <x:v>8964</x:v>
      </x:c>
      <x:c r="J19" s="31" t="n">
        <x:v>11838</x:v>
      </x:c>
      <x:c r="K19" s="31" t="n">
        <x:v>15810</x:v>
      </x:c>
      <x:c r="L19" s="34" t="n">
        <x:v>0.073</x:v>
      </x:c>
      <x:c r="M19" s="34" t="n">
        <x:v>0.13</x:v>
      </x:c>
      <x:c r="N19" s="34" t="n">
        <x:v>0.17800000000000002</x:v>
      </x:c>
      <x:c r="O19" s="34" t="n">
        <x:v>0.235</x:v>
      </x:c>
      <x:c r="P19" s="34" t="n">
        <x:v>0.38299999999999995</x:v>
      </x:c>
      <x:c r="Q19" s="40" t="str">
        <x:v>b</x:v>
      </x:c>
      <x:c r="R19" s="40" t="str">
        <x:v>b = ruptura de serie indicada por Eurostat.</x:v>
      </x:c>
      <x:c r="S19" s="40" t="str">
        <x:v>https://ec.europa.eu/eurostat/api/dissemination/statistics/1.0/data/ilc_di01?geo=ES&amp;lang=en</x:v>
      </x:c>
      <x:c r="T19" s="40" t="str">
        <x:v>https://ec.europa.eu/eurostat/api/dissemination/statistics/1.0/data/ilc_di03?geo=ES&amp;lang=en</x:v>
      </x:c>
    </x:row>
    <x:row r="20">
      <x:c r="A20" s="25" t="n">
        <x:v>2005</x:v>
      </x:c>
      <x:c r="B20" s="31" t="n">
        <x:v>12008</x:v>
      </x:c>
      <x:c r="C20" s="31" t="n">
        <x:f>IF(L20="","",B20*L20/'Parametros'!$B$5)</x:f>
        <x:v>4262.839999999999</x:v>
      </x:c>
      <x:c r="D20" s="31" t="n">
        <x:f>IF(M20="","",B20*M20/'Parametros'!$B$5)</x:f>
        <x:v>7625.08</x:v>
      </x:c>
      <x:c r="E20" s="31" t="n">
        <x:f>IF(N20="","",B20*N20/'Parametros'!$B$5)</x:f>
        <x:v>10446.96</x:v>
      </x:c>
      <x:c r="F20" s="31" t="n">
        <x:f>IF(O20="","",B20*O20/'Parametros'!$B$5)</x:f>
        <x:v>14109.399999999998</x:v>
      </x:c>
      <x:c r="G20" s="31" t="n">
        <x:f>IF(P20="","",B20*P20/'Parametros'!$B$5)</x:f>
        <x:v>23535.68</x:v>
      </x:c>
      <x:c r="H20" s="31" t="n">
        <x:v>6247</x:v>
      </x:c>
      <x:c r="I20" s="31" t="n">
        <x:v>8990</x:v>
      </x:c>
      <x:c r="J20" s="31" t="n">
        <x:v>12096</x:v>
      </x:c>
      <x:c r="K20" s="31" t="n">
        <x:v>16544</x:v>
      </x:c>
      <x:c r="L20" s="34" t="n">
        <x:v>0.071</x:v>
      </x:c>
      <x:c r="M20" s="34" t="n">
        <x:v>0.127</x:v>
      </x:c>
      <x:c r="N20" s="34" t="n">
        <x:v>0.174</x:v>
      </x:c>
      <x:c r="O20" s="34" t="n">
        <x:v>0.235</x:v>
      </x:c>
      <x:c r="P20" s="34" t="n">
        <x:v>0.392</x:v>
      </x:c>
      <x:c r="Q20" s="40" t="str"/>
      <x:c r="R20" s="40" t="str"/>
      <x:c r="S20" s="40" t="str">
        <x:v>https://ec.europa.eu/eurostat/api/dissemination/statistics/1.0/data/ilc_di01?geo=ES&amp;lang=en</x:v>
      </x:c>
      <x:c r="T20" s="40" t="str">
        <x:v>https://ec.europa.eu/eurostat/api/dissemination/statistics/1.0/data/ilc_di03?geo=ES&amp;lang=en</x:v>
      </x:c>
    </x:row>
    <x:row r="21">
      <x:c r="A21" s="25" t="n">
        <x:v>2006</x:v>
      </x:c>
      <x:c r="B21" s="31" t="n">
        <x:v>12643</x:v>
      </x:c>
      <x:c r="C21" s="31" t="n">
        <x:f>IF(L21="","",B21*L21/'Parametros'!$B$5)</x:f>
        <x:v>4425.05</x:v>
      </x:c>
      <x:c r="D21" s="31" t="n">
        <x:f>IF(M21="","",B21*M21/'Parametros'!$B$5)</x:f>
        <x:v>8091.52</x:v>
      </x:c>
      <x:c r="E21" s="31" t="n">
        <x:f>IF(N21="","",B21*N21/'Parametros'!$B$5)</x:f>
        <x:v>11189.054999999998</x:v>
      </x:c>
      <x:c r="F21" s="31" t="n">
        <x:f>IF(O21="","",B21*O21/'Parametros'!$B$5)</x:f>
        <x:v>14918.74</x:v>
      </x:c>
      <x:c r="G21" s="31" t="n">
        <x:f>IF(P21="","",B21*P21/'Parametros'!$B$5)</x:f>
        <x:v>24590.635000000002</x:v>
      </x:c>
      <x:c r="H21" s="31" t="n">
        <x:v>6605</x:v>
      </x:c>
      <x:c r="I21" s="31" t="n">
        <x:v>9583</x:v>
      </x:c>
      <x:c r="J21" s="31" t="n">
        <x:v>12870</x:v>
      </x:c>
      <x:c r="K21" s="31" t="n">
        <x:v>17395</x:v>
      </x:c>
      <x:c r="L21" s="34" t="n">
        <x:v>0.07</x:v>
      </x:c>
      <x:c r="M21" s="34" t="n">
        <x:v>0.128</x:v>
      </x:c>
      <x:c r="N21" s="34" t="n">
        <x:v>0.177</x:v>
      </x:c>
      <x:c r="O21" s="34" t="n">
        <x:v>0.23600000000000002</x:v>
      </x:c>
      <x:c r="P21" s="34" t="n">
        <x:v>0.389</x:v>
      </x:c>
      <x:c r="Q21" s="40" t="str"/>
      <x:c r="R21" s="40" t="str"/>
      <x:c r="S21" s="40" t="str">
        <x:v>https://ec.europa.eu/eurostat/api/dissemination/statistics/1.0/data/ilc_di01?geo=ES&amp;lang=en</x:v>
      </x:c>
      <x:c r="T21" s="40" t="str">
        <x:v>https://ec.europa.eu/eurostat/api/dissemination/statistics/1.0/data/ilc_di03?geo=ES&amp;lang=en</x:v>
      </x:c>
    </x:row>
    <x:row r="22">
      <x:c r="A22" s="25" t="n">
        <x:v>2007</x:v>
      </x:c>
      <x:c r="B22" s="31" t="n">
        <x:v>13266</x:v>
      </x:c>
      <x:c r="C22" s="31" t="n">
        <x:f>IF(L22="","",B22*L22/'Parametros'!$B$5)</x:f>
        <x:v>4709.429999999999</x:v>
      </x:c>
      <x:c r="D22" s="31" t="n">
        <x:f>IF(M22="","",B22*M22/'Parametros'!$B$5)</x:f>
        <x:v>8490.24</x:v>
      </x:c>
      <x:c r="E22" s="31" t="n">
        <x:f>IF(N22="","",B22*N22/'Parametros'!$B$5)</x:f>
        <x:v>11674.08</x:v>
      </x:c>
      <x:c r="F22" s="31" t="n">
        <x:f>IF(O22="","",B22*O22/'Parametros'!$B$5)</x:f>
        <x:v>15653.880000000001</x:v>
      </x:c>
      <x:c r="G22" s="31" t="n">
        <x:f>IF(P22="","",B22*P22/'Parametros'!$B$5)</x:f>
        <x:v>25802.37</x:v>
      </x:c>
      <x:c r="H22" s="31" t="n">
        <x:v>7009</x:v>
      </x:c>
      <x:c r="I22" s="31" t="n">
        <x:v>9989</x:v>
      </x:c>
      <x:c r="J22" s="31" t="n">
        <x:v>13453</x:v>
      </x:c>
      <x:c r="K22" s="31" t="n">
        <x:v>18350</x:v>
      </x:c>
      <x:c r="L22" s="34" t="n">
        <x:v>0.071</x:v>
      </x:c>
      <x:c r="M22" s="34" t="n">
        <x:v>0.128</x:v>
      </x:c>
      <x:c r="N22" s="34" t="n">
        <x:v>0.17600000000000002</x:v>
      </x:c>
      <x:c r="O22" s="34" t="n">
        <x:v>0.23600000000000002</x:v>
      </x:c>
      <x:c r="P22" s="34" t="n">
        <x:v>0.389</x:v>
      </x:c>
      <x:c r="Q22" s="40" t="str"/>
      <x:c r="R22" s="40" t="str"/>
      <x:c r="S22" s="40" t="str">
        <x:v>https://ec.europa.eu/eurostat/api/dissemination/statistics/1.0/data/ilc_di01?geo=ES&amp;lang=en</x:v>
      </x:c>
      <x:c r="T22" s="40" t="str">
        <x:v>https://ec.europa.eu/eurostat/api/dissemination/statistics/1.0/data/ilc_di03?geo=ES&amp;lang=en</x:v>
      </x:c>
    </x:row>
    <x:row r="23">
      <x:c r="A23" s="25" t="n">
        <x:v>2008</x:v>
      </x:c>
      <x:c r="B23" s="31" t="n">
        <x:v>16190</x:v>
      </x:c>
      <x:c r="C23" s="31" t="n">
        <x:f>IF(L23="","",B23*L23/'Parametros'!$B$5)</x:f>
        <x:v>5747.45</x:v>
      </x:c>
      <x:c r="D23" s="31" t="n">
        <x:f>IF(M23="","",B23*M23/'Parametros'!$B$5)</x:f>
        <x:v>10280.65</x:v>
      </x:c>
      <x:c r="E23" s="31" t="n">
        <x:f>IF(N23="","",B23*N23/'Parametros'!$B$5)</x:f>
        <x:v>14004.35</x:v>
      </x:c>
      <x:c r="F23" s="31" t="n">
        <x:f>IF(O23="","",B23*O23/'Parametros'!$B$5)</x:f>
        <x:v>18861.35</x:v>
      </x:c>
      <x:c r="G23" s="31" t="n">
        <x:f>IF(P23="","",B23*P23/'Parametros'!$B$5)</x:f>
        <x:v>32056.2</x:v>
      </x:c>
      <x:c r="H23" s="31" t="n">
        <x:v>8407</x:v>
      </x:c>
      <x:c r="I23" s="31" t="n">
        <x:v>12065</x:v>
      </x:c>
      <x:c r="J23" s="31" t="n">
        <x:v>16170</x:v>
      </x:c>
      <x:c r="K23" s="31" t="n">
        <x:v>22080</x:v>
      </x:c>
      <x:c r="L23" s="34" t="n">
        <x:v>0.071</x:v>
      </x:c>
      <x:c r="M23" s="34" t="n">
        <x:v>0.127</x:v>
      </x:c>
      <x:c r="N23" s="34" t="n">
        <x:v>0.17300000000000001</x:v>
      </x:c>
      <x:c r="O23" s="34" t="n">
        <x:v>0.233</x:v>
      </x:c>
      <x:c r="P23" s="34" t="n">
        <x:v>0.396</x:v>
      </x:c>
      <x:c r="Q23" s="40" t="str">
        <x:v>b</x:v>
      </x:c>
      <x:c r="R23" s="40" t="str">
        <x:v>b = ruptura de serie indicada por Eurostat.</x:v>
      </x:c>
      <x:c r="S23" s="40" t="str">
        <x:v>https://ec.europa.eu/eurostat/api/dissemination/statistics/1.0/data/ilc_di01?geo=ES&amp;lang=en</x:v>
      </x:c>
      <x:c r="T23" s="40" t="str">
        <x:v>https://ec.europa.eu/eurostat/api/dissemination/statistics/1.0/data/ilc_di03?geo=ES&amp;lang=en</x:v>
      </x:c>
    </x:row>
    <x:row r="24">
      <x:c r="A24" s="25" t="n">
        <x:v>2009</x:v>
      </x:c>
      <x:c r="B24" s="31" t="n">
        <x:v>17042</x:v>
      </x:c>
      <x:c r="C24" s="31" t="n">
        <x:f>IF(L24="","",B24*L24/'Parametros'!$B$5)</x:f>
        <x:v>5794.28</x:v>
      </x:c>
      <x:c r="D24" s="31" t="n">
        <x:f>IF(M24="","",B24*M24/'Parametros'!$B$5)</x:f>
        <x:v>10821.669999999998</x:v>
      </x:c>
      <x:c r="E24" s="31" t="n">
        <x:f>IF(N24="","",B24*N24/'Parametros'!$B$5)</x:f>
        <x:v>14826.539999999999</x:v>
      </x:c>
      <x:c r="F24" s="31" t="n">
        <x:f>IF(O24="","",B24*O24/'Parametros'!$B$5)</x:f>
        <x:v>19939.14</x:v>
      </x:c>
      <x:c r="G24" s="31" t="n">
        <x:f>IF(P24="","",B24*P24/'Parametros'!$B$5)</x:f>
        <x:v>33828.369999999995</x:v>
      </x:c>
      <x:c r="H24" s="31" t="n">
        <x:v>8788</x:v>
      </x:c>
      <x:c r="I24" s="31" t="n">
        <x:v>12848</x:v>
      </x:c>
      <x:c r="J24" s="31" t="n">
        <x:v>17041</x:v>
      </x:c>
      <x:c r="K24" s="31" t="n">
        <x:v>23465</x:v>
      </x:c>
      <x:c r="L24" s="34" t="n">
        <x:v>0.068</x:v>
      </x:c>
      <x:c r="M24" s="34" t="n">
        <x:v>0.127</x:v>
      </x:c>
      <x:c r="N24" s="34" t="n">
        <x:v>0.174</x:v>
      </x:c>
      <x:c r="O24" s="34" t="n">
        <x:v>0.23399999999999999</x:v>
      </x:c>
      <x:c r="P24" s="34" t="n">
        <x:v>0.397</x:v>
      </x:c>
      <x:c r="Q24" s="40" t="str"/>
      <x:c r="R24" s="40" t="str"/>
      <x:c r="S24" s="40" t="str">
        <x:v>https://ec.europa.eu/eurostat/api/dissemination/statistics/1.0/data/ilc_di01?geo=ES&amp;lang=en</x:v>
      </x:c>
      <x:c r="T24" s="40" t="str">
        <x:v>https://ec.europa.eu/eurostat/api/dissemination/statistics/1.0/data/ilc_di03?geo=ES&amp;lang=en</x:v>
      </x:c>
    </x:row>
    <x:row r="25">
      <x:c r="A25" s="25" t="n">
        <x:v>2010</x:v>
      </x:c>
      <x:c r="B25" s="31" t="n">
        <x:v>16922</x:v>
      </x:c>
      <x:c r="C25" s="31" t="n">
        <x:f>IF(L25="","",B25*L25/'Parametros'!$B$5)</x:f>
        <x:v>5499.65</x:v>
      </x:c>
      <x:c r="D25" s="31" t="n">
        <x:f>IF(M25="","",B25*M25/'Parametros'!$B$5)</x:f>
        <x:v>10745.47</x:v>
      </x:c>
      <x:c r="E25" s="31" t="n">
        <x:f>IF(N25="","",B25*N25/'Parametros'!$B$5)</x:f>
        <x:v>14637.53</x:v>
      </x:c>
      <x:c r="F25" s="31" t="n">
        <x:f>IF(O25="","",B25*O25/'Parametros'!$B$5)</x:f>
        <x:v>19798.739999999998</x:v>
      </x:c>
      <x:c r="G25" s="31" t="n">
        <x:f>IF(P25="","",B25*P25/'Parametros'!$B$5)</x:f>
        <x:v>33928.61</x:v>
      </x:c>
      <x:c r="H25" s="31" t="n">
        <x:v>8602</x:v>
      </x:c>
      <x:c r="I25" s="31" t="n">
        <x:v>12649</x:v>
      </x:c>
      <x:c r="J25" s="31" t="n">
        <x:v>16890</x:v>
      </x:c>
      <x:c r="K25" s="31" t="n">
        <x:v>23201</x:v>
      </x:c>
      <x:c r="L25" s="34" t="n">
        <x:v>0.065</x:v>
      </x:c>
      <x:c r="M25" s="34" t="n">
        <x:v>0.127</x:v>
      </x:c>
      <x:c r="N25" s="34" t="n">
        <x:v>0.17300000000000001</x:v>
      </x:c>
      <x:c r="O25" s="34" t="n">
        <x:v>0.23399999999999999</x:v>
      </x:c>
      <x:c r="P25" s="34" t="n">
        <x:v>0.401</x:v>
      </x:c>
      <x:c r="Q25" s="40" t="str"/>
      <x:c r="R25" s="40" t="str"/>
      <x:c r="S25" s="40" t="str">
        <x:v>https://ec.europa.eu/eurostat/api/dissemination/statistics/1.0/data/ilc_di01?geo=ES&amp;lang=en</x:v>
      </x:c>
      <x:c r="T25" s="40" t="str">
        <x:v>https://ec.europa.eu/eurostat/api/dissemination/statistics/1.0/data/ilc_di03?geo=ES&amp;lang=en</x:v>
      </x:c>
    </x:row>
    <x:row r="26">
      <x:c r="A26" s="25" t="n">
        <x:v>2011</x:v>
      </x:c>
      <x:c r="B26" s="31" t="n">
        <x:v>16280</x:v>
      </x:c>
      <x:c r="C26" s="31" t="n">
        <x:f>IF(L26="","",B26*L26/'Parametros'!$B$5)</x:f>
        <x:v>5291</x:v>
      </x:c>
      <x:c r="D26" s="31" t="n">
        <x:f>IF(M26="","",B26*M26/'Parametros'!$B$5)</x:f>
        <x:v>10093.6</x:v>
      </x:c>
      <x:c r="E26" s="31" t="n">
        <x:f>IF(N26="","",B26*N26/'Parametros'!$B$5)</x:f>
        <x:v>14000.8</x:v>
      </x:c>
      <x:c r="F26" s="31" t="n">
        <x:f>IF(O26="","",B26*O26/'Parametros'!$B$5)</x:f>
        <x:v>19047.6</x:v>
      </x:c>
      <x:c r="G26" s="31" t="n">
        <x:f>IF(P26="","",B26*P26/'Parametros'!$B$5)</x:f>
        <x:v>32967</x:v>
      </x:c>
      <x:c r="H26" s="31" t="n">
        <x:v>8259</x:v>
      </x:c>
      <x:c r="I26" s="31" t="n">
        <x:v>11955</x:v>
      </x:c>
      <x:c r="J26" s="31" t="n">
        <x:v>16157</x:v>
      </x:c>
      <x:c r="K26" s="31" t="n">
        <x:v>22728</x:v>
      </x:c>
      <x:c r="L26" s="34" t="n">
        <x:v>0.065</x:v>
      </x:c>
      <x:c r="M26" s="34" t="n">
        <x:v>0.124</x:v>
      </x:c>
      <x:c r="N26" s="34" t="n">
        <x:v>0.172</x:v>
      </x:c>
      <x:c r="O26" s="34" t="n">
        <x:v>0.23399999999999999</x:v>
      </x:c>
      <x:c r="P26" s="34" t="n">
        <x:v>0.405</x:v>
      </x:c>
      <x:c r="Q26" s="40" t="str"/>
      <x:c r="R26" s="40" t="str"/>
      <x:c r="S26" s="40" t="str">
        <x:v>https://ec.europa.eu/eurostat/api/dissemination/statistics/1.0/data/ilc_di01?geo=ES&amp;lang=en</x:v>
      </x:c>
      <x:c r="T26" s="40" t="str">
        <x:v>https://ec.europa.eu/eurostat/api/dissemination/statistics/1.0/data/ilc_di03?geo=ES&amp;lang=en</x:v>
      </x:c>
    </x:row>
    <x:row r="27">
      <x:c r="A27" s="25" t="n">
        <x:v>2012</x:v>
      </x:c>
      <x:c r="B27" s="31" t="n">
        <x:v>16119</x:v>
      </x:c>
      <x:c r="C27" s="31" t="n">
        <x:f>IF(L27="","",B27*L27/'Parametros'!$B$5)</x:f>
        <x:v>5077.485</x:v>
      </x:c>
      <x:c r="D27" s="31" t="n">
        <x:f>IF(M27="","",B27*M27/'Parametros'!$B$5)</x:f>
        <x:v>9993.78</x:v>
      </x:c>
      <x:c r="E27" s="31" t="n">
        <x:f>IF(N27="","",B27*N27/'Parametros'!$B$5)</x:f>
        <x:v>13862.339999999998</x:v>
      </x:c>
      <x:c r="F27" s="31" t="n">
        <x:f>IF(O27="","",B27*O27/'Parametros'!$B$5)</x:f>
        <x:v>19101.015</x:v>
      </x:c>
      <x:c r="G27" s="31" t="n">
        <x:f>IF(P27="","",B27*P27/'Parametros'!$B$5)</x:f>
        <x:v>32640.975000000002</x:v>
      </x:c>
      <x:c r="H27" s="31" t="n">
        <x:v>8123</x:v>
      </x:c>
      <x:c r="I27" s="31" t="n">
        <x:v>11855</x:v>
      </x:c>
      <x:c r="J27" s="31" t="n">
        <x:v>15986</x:v>
      </x:c>
      <x:c r="K27" s="31" t="n">
        <x:v>22700</x:v>
      </x:c>
      <x:c r="L27" s="34" t="n">
        <x:v>0.063</x:v>
      </x:c>
      <x:c r="M27" s="34" t="n">
        <x:v>0.124</x:v>
      </x:c>
      <x:c r="N27" s="34" t="n">
        <x:v>0.172</x:v>
      </x:c>
      <x:c r="O27" s="34" t="n">
        <x:v>0.237</x:v>
      </x:c>
      <x:c r="P27" s="34" t="n">
        <x:v>0.405</x:v>
      </x:c>
      <x:c r="Q27" s="40" t="str"/>
      <x:c r="R27" s="40" t="str"/>
      <x:c r="S27" s="40" t="str">
        <x:v>https://ec.europa.eu/eurostat/api/dissemination/statistics/1.0/data/ilc_di01?geo=ES&amp;lang=en</x:v>
      </x:c>
      <x:c r="T27" s="40" t="str">
        <x:v>https://ec.europa.eu/eurostat/api/dissemination/statistics/1.0/data/ilc_di03?geo=ES&amp;lang=en</x:v>
      </x:c>
    </x:row>
    <x:row r="28">
      <x:c r="A28" s="25" t="n">
        <x:v>2013</x:v>
      </x:c>
      <x:c r="B28" s="31" t="n">
        <x:v>15635</x:v>
      </x:c>
      <x:c r="C28" s="31" t="n">
        <x:f>IF(L28="","",B28*L28/'Parametros'!$B$5)</x:f>
        <x:v>5003.2</x:v>
      </x:c>
      <x:c r="D28" s="31" t="n">
        <x:f>IF(M28="","",B28*M28/'Parametros'!$B$5)</x:f>
        <x:v>9771.875</x:v>
      </x:c>
      <x:c r="E28" s="31" t="n">
        <x:f>IF(N28="","",B28*N28/'Parametros'!$B$5)</x:f>
        <x:v>13602.449999999999</x:v>
      </x:c>
      <x:c r="F28" s="31" t="n">
        <x:f>IF(O28="","",B28*O28/'Parametros'!$B$5)</x:f>
        <x:v>18449.3</x:v>
      </x:c>
      <x:c r="G28" s="31" t="n">
        <x:f>IF(P28="","",B28*P28/'Parametros'!$B$5)</x:f>
        <x:v>31348.175</x:v>
      </x:c>
      <x:c r="H28" s="31" t="n">
        <x:v>8052</x:v>
      </x:c>
      <x:c r="I28" s="31" t="n">
        <x:v>11583</x:v>
      </x:c>
      <x:c r="J28" s="31" t="n">
        <x:v>15736</x:v>
      </x:c>
      <x:c r="K28" s="31" t="n">
        <x:v>21926</x:v>
      </x:c>
      <x:c r="L28" s="34" t="n">
        <x:v>0.064</x:v>
      </x:c>
      <x:c r="M28" s="34" t="n">
        <x:v>0.125</x:v>
      </x:c>
      <x:c r="N28" s="34" t="n">
        <x:v>0.174</x:v>
      </x:c>
      <x:c r="O28" s="34" t="n">
        <x:v>0.23600000000000002</x:v>
      </x:c>
      <x:c r="P28" s="34" t="n">
        <x:v>0.401</x:v>
      </x:c>
      <x:c r="Q28" s="40" t="str"/>
      <x:c r="R28" s="40" t="str"/>
      <x:c r="S28" s="40" t="str">
        <x:v>https://ec.europa.eu/eurostat/api/dissemination/statistics/1.0/data/ilc_di01?geo=ES&amp;lang=en</x:v>
      </x:c>
      <x:c r="T28" s="40" t="str">
        <x:v>https://ec.europa.eu/eurostat/api/dissemination/statistics/1.0/data/ilc_di03?geo=ES&amp;lang=en</x:v>
      </x:c>
    </x:row>
    <x:row r="29">
      <x:c r="A29" s="25" t="n">
        <x:v>2014</x:v>
      </x:c>
      <x:c r="B29" s="31" t="n">
        <x:v>15405</x:v>
      </x:c>
      <x:c r="C29" s="31" t="n">
        <x:f>IF(L29="","",B29*L29/'Parametros'!$B$5)</x:f>
        <x:v>4621.499999999999</x:v>
      </x:c>
      <x:c r="D29" s="31" t="n">
        <x:f>IF(M29="","",B29*M29/'Parametros'!$B$5)</x:f>
        <x:v>9397.05</x:v>
      </x:c>
      <x:c r="E29" s="31" t="n">
        <x:f>IF(N29="","",B29*N29/'Parametros'!$B$5)</x:f>
        <x:v>13325.324999999999</x:v>
      </x:c>
      <x:c r="F29" s="31" t="n">
        <x:f>IF(O29="","",B29*O29/'Parametros'!$B$5)</x:f>
        <x:v>18485.999999999996</x:v>
      </x:c>
      <x:c r="G29" s="31" t="n">
        <x:f>IF(P29="","",B29*P29/'Parametros'!$B$5)</x:f>
        <x:v>31272.15</x:v>
      </x:c>
      <x:c r="H29" s="31" t="n">
        <x:v>7427</x:v>
      </x:c>
      <x:c r="I29" s="31" t="n">
        <x:v>11228</x:v>
      </x:c>
      <x:c r="J29" s="31" t="n">
        <x:v>15458</x:v>
      </x:c>
      <x:c r="K29" s="31" t="n">
        <x:v>22083</x:v>
      </x:c>
      <x:c r="L29" s="34" t="n">
        <x:v>0.06</x:v>
      </x:c>
      <x:c r="M29" s="34" t="n">
        <x:v>0.122</x:v>
      </x:c>
      <x:c r="N29" s="34" t="n">
        <x:v>0.17300000000000001</x:v>
      </x:c>
      <x:c r="O29" s="34" t="n">
        <x:v>0.24</x:v>
      </x:c>
      <x:c r="P29" s="34" t="n">
        <x:v>0.406</x:v>
      </x:c>
      <x:c r="Q29" s="40" t="str"/>
      <x:c r="R29" s="40" t="str"/>
      <x:c r="S29" s="40" t="str">
        <x:v>https://ec.europa.eu/eurostat/api/dissemination/statistics/1.0/data/ilc_di01?geo=ES&amp;lang=en</x:v>
      </x:c>
      <x:c r="T29" s="40" t="str">
        <x:v>https://ec.europa.eu/eurostat/api/dissemination/statistics/1.0/data/ilc_di03?geo=ES&amp;lang=en</x:v>
      </x:c>
    </x:row>
    <x:row r="30">
      <x:c r="A30" s="25" t="n">
        <x:v>2015</x:v>
      </x:c>
      <x:c r="B30" s="31" t="n">
        <x:v>15408</x:v>
      </x:c>
      <x:c r="C30" s="31" t="n">
        <x:f>IF(L30="","",B30*L30/'Parametros'!$B$5)</x:f>
        <x:v>4545.36</x:v>
      </x:c>
      <x:c r="D30" s="31" t="n">
        <x:f>IF(M30="","",B30*M30/'Parametros'!$B$5)</x:f>
        <x:v>9475.92</x:v>
      </x:c>
      <x:c r="E30" s="31" t="n">
        <x:f>IF(N30="","",B30*N30/'Parametros'!$B$5)</x:f>
        <x:v>13327.92</x:v>
      </x:c>
      <x:c r="F30" s="31" t="n">
        <x:f>IF(O30="","",B30*O30/'Parametros'!$B$5)</x:f>
        <x:v>18335.52</x:v>
      </x:c>
      <x:c r="G30" s="31" t="n">
        <x:f>IF(P30="","",B30*P30/'Parametros'!$B$5)</x:f>
        <x:v>31278.239999999998</x:v>
      </x:c>
      <x:c r="H30" s="31" t="n">
        <x:v>7549</x:v>
      </x:c>
      <x:c r="I30" s="31" t="n">
        <x:v>11411</x:v>
      </x:c>
      <x:c r="J30" s="31" t="n">
        <x:v>15517</x:v>
      </x:c>
      <x:c r="K30" s="31" t="n">
        <x:v>21797</x:v>
      </x:c>
      <x:c r="L30" s="34" t="n">
        <x:v>0.059000000000000004</x:v>
      </x:c>
      <x:c r="M30" s="34" t="n">
        <x:v>0.12300000000000001</x:v>
      </x:c>
      <x:c r="N30" s="34" t="n">
        <x:v>0.17300000000000001</x:v>
      </x:c>
      <x:c r="O30" s="34" t="n">
        <x:v>0.23800000000000002</x:v>
      </x:c>
      <x:c r="P30" s="34" t="n">
        <x:v>0.406</x:v>
      </x:c>
      <x:c r="Q30" s="40" t="str"/>
      <x:c r="R30" s="40" t="str"/>
      <x:c r="S30" s="40" t="str">
        <x:v>https://ec.europa.eu/eurostat/api/dissemination/statistics/1.0/data/ilc_di01?geo=ES&amp;lang=en</x:v>
      </x:c>
      <x:c r="T30" s="40" t="str">
        <x:v>https://ec.europa.eu/eurostat/api/dissemination/statistics/1.0/data/ilc_di03?geo=ES&amp;lang=en</x:v>
      </x:c>
    </x:row>
    <x:row r="31">
      <x:c r="A31" s="25" t="n">
        <x:v>2016</x:v>
      </x:c>
      <x:c r="B31" s="31" t="n">
        <x:v>15842</x:v>
      </x:c>
      <x:c r="C31" s="31" t="n">
        <x:f>IF(L31="","",B31*L31/'Parametros'!$B$5)</x:f>
        <x:v>4911.0199999999995</x:v>
      </x:c>
      <x:c r="D31" s="31" t="n">
        <x:f>IF(M31="","",B31*M31/'Parametros'!$B$5)</x:f>
        <x:v>9663.619999999999</x:v>
      </x:c>
      <x:c r="E31" s="31" t="n">
        <x:f>IF(N31="","",B31*N31/'Parametros'!$B$5)</x:f>
        <x:v>13703.33</x:v>
      </x:c>
      <x:c r="F31" s="31" t="n">
        <x:f>IF(O31="","",B31*O31/'Parametros'!$B$5)</x:f>
        <x:v>18772.769999999997</x:v>
      </x:c>
      <x:c r="G31" s="31" t="n">
        <x:f>IF(P31="","",B31*P31/'Parametros'!$B$5)</x:f>
        <x:v>32238.47</x:v>
      </x:c>
      <x:c r="H31" s="31" t="n">
        <x:v>7684</x:v>
      </x:c>
      <x:c r="I31" s="31" t="n">
        <x:v>11634</x:v>
      </x:c>
      <x:c r="J31" s="31" t="n">
        <x:v>15869</x:v>
      </x:c>
      <x:c r="K31" s="31" t="n">
        <x:v>22356</x:v>
      </x:c>
      <x:c r="L31" s="34" t="n">
        <x:v>0.062</x:v>
      </x:c>
      <x:c r="M31" s="34" t="n">
        <x:v>0.122</x:v>
      </x:c>
      <x:c r="N31" s="34" t="n">
        <x:v>0.17300000000000001</x:v>
      </x:c>
      <x:c r="O31" s="34" t="n">
        <x:v>0.237</x:v>
      </x:c>
      <x:c r="P31" s="34" t="n">
        <x:v>0.40700000000000003</x:v>
      </x:c>
      <x:c r="Q31" s="40" t="str"/>
      <x:c r="R31" s="40" t="str"/>
      <x:c r="S31" s="40" t="str">
        <x:v>https://ec.europa.eu/eurostat/api/dissemination/statistics/1.0/data/ilc_di01?geo=ES&amp;lang=en</x:v>
      </x:c>
      <x:c r="T31" s="40" t="str">
        <x:v>https://ec.europa.eu/eurostat/api/dissemination/statistics/1.0/data/ilc_di03?geo=ES&amp;lang=en</x:v>
      </x:c>
    </x:row>
    <x:row r="32">
      <x:c r="A32" s="25" t="n">
        <x:v>2017</x:v>
      </x:c>
      <x:c r="B32" s="31" t="n">
        <x:v>16390</x:v>
      </x:c>
      <x:c r="C32" s="31" t="n">
        <x:f>IF(L32="","",B32*L32/'Parametros'!$B$5)</x:f>
        <x:v>4998.95</x:v>
      </x:c>
      <x:c r="D32" s="31" t="n">
        <x:f>IF(M32="","",B32*M32/'Parametros'!$B$5)</x:f>
        <x:v>10161.8</x:v>
      </x:c>
      <x:c r="E32" s="31" t="n">
        <x:f>IF(N32="","",B32*N32/'Parametros'!$B$5)</x:f>
        <x:v>14341.25</x:v>
      </x:c>
      <x:c r="F32" s="31" t="n">
        <x:f>IF(O32="","",B32*O32/'Parametros'!$B$5)</x:f>
        <x:v>19586.05</x:v>
      </x:c>
      <x:c r="G32" s="31" t="n">
        <x:f>IF(P32="","",B32*P32/'Parametros'!$B$5)</x:f>
        <x:v>32943.9</x:v>
      </x:c>
      <x:c r="H32" s="31" t="n">
        <x:v>8144</x:v>
      </x:c>
      <x:c r="I32" s="31" t="n">
        <x:v>12149</x:v>
      </x:c>
      <x:c r="J32" s="31" t="n">
        <x:v>16667</x:v>
      </x:c>
      <x:c r="K32" s="31" t="n">
        <x:v>23237</x:v>
      </x:c>
      <x:c r="L32" s="34" t="n">
        <x:v>0.061</x:v>
      </x:c>
      <x:c r="M32" s="34" t="n">
        <x:v>0.124</x:v>
      </x:c>
      <x:c r="N32" s="34" t="n">
        <x:v>0.175</x:v>
      </x:c>
      <x:c r="O32" s="34" t="n">
        <x:v>0.239</x:v>
      </x:c>
      <x:c r="P32" s="34" t="n">
        <x:v>0.402</x:v>
      </x:c>
      <x:c r="Q32" s="40" t="str"/>
      <x:c r="R32" s="40" t="str"/>
      <x:c r="S32" s="40" t="str">
        <x:v>https://ec.europa.eu/eurostat/api/dissemination/statistics/1.0/data/ilc_di01?geo=ES&amp;lang=en</x:v>
      </x:c>
      <x:c r="T32" s="40" t="str">
        <x:v>https://ec.europa.eu/eurostat/api/dissemination/statistics/1.0/data/ilc_di03?geo=ES&amp;lang=en</x:v>
      </x:c>
    </x:row>
    <x:row r="33">
      <x:c r="A33" s="25" t="n">
        <x:v>2018</x:v>
      </x:c>
      <x:c r="B33" s="31" t="n">
        <x:v>16937</x:v>
      </x:c>
      <x:c r="C33" s="31" t="n">
        <x:f>IF(L33="","",B33*L33/'Parametros'!$B$5)</x:f>
        <x:v>5589.21</x:v>
      </x:c>
      <x:c r="D33" s="31" t="n">
        <x:f>IF(M33="","",B33*M33/'Parametros'!$B$5)</x:f>
        <x:v>10585.625</x:v>
      </x:c>
      <x:c r="E33" s="31" t="n">
        <x:f>IF(N33="","",B33*N33/'Parametros'!$B$5)</x:f>
        <x:v>14819.874999999998</x:v>
      </x:c>
      <x:c r="F33" s="31" t="n">
        <x:f>IF(O33="","",B33*O33/'Parametros'!$B$5)</x:f>
        <x:v>20070.344999999998</x:v>
      </x:c>
      <x:c r="G33" s="31" t="n">
        <x:f>IF(P33="","",B33*P33/'Parametros'!$B$5)</x:f>
        <x:v>33619.945</x:v>
      </x:c>
      <x:c r="H33" s="31" t="n">
        <x:v>8549</x:v>
      </x:c>
      <x:c r="I33" s="31" t="n">
        <x:v>12647</x:v>
      </x:c>
      <x:c r="J33" s="31" t="n">
        <x:v>17064</x:v>
      </x:c>
      <x:c r="K33" s="31" t="n">
        <x:v>23666</x:v>
      </x:c>
      <x:c r="L33" s="34" t="n">
        <x:v>0.066</x:v>
      </x:c>
      <x:c r="M33" s="34" t="n">
        <x:v>0.125</x:v>
      </x:c>
      <x:c r="N33" s="34" t="n">
        <x:v>0.175</x:v>
      </x:c>
      <x:c r="O33" s="34" t="n">
        <x:v>0.237</x:v>
      </x:c>
      <x:c r="P33" s="34" t="n">
        <x:v>0.397</x:v>
      </x:c>
      <x:c r="Q33" s="40" t="str"/>
      <x:c r="R33" s="40" t="str"/>
      <x:c r="S33" s="40" t="str">
        <x:v>https://ec.europa.eu/eurostat/api/dissemination/statistics/1.0/data/ilc_di01?geo=ES&amp;lang=en</x:v>
      </x:c>
      <x:c r="T33" s="40" t="str">
        <x:v>https://ec.europa.eu/eurostat/api/dissemination/statistics/1.0/data/ilc_di03?geo=ES&amp;lang=en</x:v>
      </x:c>
    </x:row>
    <x:row r="34">
      <x:c r="A34" s="25" t="n">
        <x:v>2019</x:v>
      </x:c>
      <x:c r="B34" s="31" t="n">
        <x:v>17287</x:v>
      </x:c>
      <x:c r="C34" s="31" t="n">
        <x:f>IF(L34="","",B34*L34/'Parametros'!$B$5)</x:f>
        <x:v>5791.1449999999995</x:v>
      </x:c>
      <x:c r="D34" s="31" t="n">
        <x:f>IF(M34="","",B34*M34/'Parametros'!$B$5)</x:f>
        <x:v>10890.809999999998</x:v>
      </x:c>
      <x:c r="E34" s="31" t="n">
        <x:f>IF(N34="","",B34*N34/'Parametros'!$B$5)</x:f>
        <x:v>15126.124999999998</x:v>
      </x:c>
      <x:c r="F34" s="31" t="n">
        <x:f>IF(O34="","",B34*O34/'Parametros'!$B$5)</x:f>
        <x:v>20485.095</x:v>
      </x:c>
      <x:c r="G34" s="31" t="n">
        <x:f>IF(P34="","",B34*P34/'Parametros'!$B$5)</x:f>
        <x:v>34228.259999999995</x:v>
      </x:c>
      <x:c r="H34" s="31" t="n">
        <x:v>8847</x:v>
      </x:c>
      <x:c r="I34" s="31" t="n">
        <x:v>12997</x:v>
      </x:c>
      <x:c r="J34" s="31" t="n">
        <x:v>17422</x:v>
      </x:c>
      <x:c r="K34" s="31" t="n">
        <x:v>24104</x:v>
      </x:c>
      <x:c r="L34" s="34" t="n">
        <x:v>0.067</x:v>
      </x:c>
      <x:c r="M34" s="34" t="n">
        <x:v>0.126</x:v>
      </x:c>
      <x:c r="N34" s="34" t="n">
        <x:v>0.175</x:v>
      </x:c>
      <x:c r="O34" s="34" t="n">
        <x:v>0.237</x:v>
      </x:c>
      <x:c r="P34" s="34" t="n">
        <x:v>0.396</x:v>
      </x:c>
      <x:c r="Q34" s="40" t="str"/>
      <x:c r="R34" s="40" t="str"/>
      <x:c r="S34" s="40" t="str">
        <x:v>https://ec.europa.eu/eurostat/api/dissemination/statistics/1.0/data/ilc_di01?geo=ES&amp;lang=en</x:v>
      </x:c>
      <x:c r="T34" s="40" t="str">
        <x:v>https://ec.europa.eu/eurostat/api/dissemination/statistics/1.0/data/ilc_di03?geo=ES&amp;lang=en</x:v>
      </x:c>
    </x:row>
    <x:row r="35">
      <x:c r="A35" s="25" t="n">
        <x:v>2020</x:v>
      </x:c>
      <x:c r="B35" s="31" t="n">
        <x:v>18116</x:v>
      </x:c>
      <x:c r="C35" s="31" t="n">
        <x:f>IF(L35="","",B35*L35/'Parametros'!$B$5)</x:f>
        <x:v>6068.860000000001</x:v>
      </x:c>
      <x:c r="D35" s="31" t="n">
        <x:f>IF(M35="","",B35*M35/'Parametros'!$B$5)</x:f>
        <x:v>11594.24</x:v>
      </x:c>
      <x:c r="E35" s="31" t="n">
        <x:f>IF(N35="","",B35*N35/'Parametros'!$B$5)</x:f>
        <x:v>16213.819999999998</x:v>
      </x:c>
      <x:c r="F35" s="31" t="n">
        <x:f>IF(O35="","",B35*O35/'Parametros'!$B$5)</x:f>
        <x:v>21558.04</x:v>
      </x:c>
      <x:c r="G35" s="31" t="n">
        <x:f>IF(P35="","",B35*P35/'Parametros'!$B$5)</x:f>
        <x:v>35145.03999999999</x:v>
      </x:c>
      <x:c r="H35" s="31" t="n">
        <x:v>9449</x:v>
      </x:c>
      <x:c r="I35" s="31" t="n">
        <x:v>13840</x:v>
      </x:c>
      <x:c r="J35" s="31" t="n">
        <x:v>18526</x:v>
      </x:c>
      <x:c r="K35" s="31" t="n">
        <x:v>25189</x:v>
      </x:c>
      <x:c r="L35" s="34" t="n">
        <x:v>0.067</x:v>
      </x:c>
      <x:c r="M35" s="34" t="n">
        <x:v>0.128</x:v>
      </x:c>
      <x:c r="N35" s="34" t="n">
        <x:v>0.179</x:v>
      </x:c>
      <x:c r="O35" s="34" t="n">
        <x:v>0.23800000000000002</x:v>
      </x:c>
      <x:c r="P35" s="34" t="n">
        <x:v>0.38799999999999996</x:v>
      </x:c>
      <x:c r="Q35" s="40" t="str"/>
      <x:c r="R35" s="40" t="str"/>
      <x:c r="S35" s="40" t="str">
        <x:v>https://ec.europa.eu/eurostat/api/dissemination/statistics/1.0/data/ilc_di01?geo=ES&amp;lang=en</x:v>
      </x:c>
      <x:c r="T35" s="40" t="str">
        <x:v>https://ec.europa.eu/eurostat/api/dissemination/statistics/1.0/data/ilc_di03?geo=ES&amp;lang=en</x:v>
      </x:c>
    </x:row>
    <x:row r="36">
      <x:c r="A36" s="25" t="n">
        <x:v>2021</x:v>
      </x:c>
      <x:c r="B36" s="31" t="n">
        <x:v>18103</x:v>
      </x:c>
      <x:c r="C36" s="31" t="n">
        <x:f>IF(L36="","",B36*L36/'Parametros'!$B$5)</x:f>
        <x:v>5792.96</x:v>
      </x:c>
      <x:c r="D36" s="31" t="n">
        <x:f>IF(M36="","",B36*M36/'Parametros'!$B$5)</x:f>
        <x:v>11495.405</x:v>
      </x:c>
      <x:c r="E36" s="31" t="n">
        <x:f>IF(N36="","",B36*N36/'Parametros'!$B$5)</x:f>
        <x:v>15930.64</x:v>
      </x:c>
      <x:c r="F36" s="31" t="n">
        <x:f>IF(O36="","",B36*O36/'Parametros'!$B$5)</x:f>
        <x:v>21633.085</x:v>
      </x:c>
      <x:c r="G36" s="31" t="n">
        <x:f>IF(P36="","",B36*P36/'Parametros'!$B$5)</x:f>
        <x:v>35662.909999999996</x:v>
      </x:c>
      <x:c r="H36" s="31" t="n">
        <x:v>9216</x:v>
      </x:c>
      <x:c r="I36" s="31" t="n">
        <x:v>13697</x:v>
      </x:c>
      <x:c r="J36" s="31" t="n">
        <x:v>18418</x:v>
      </x:c>
      <x:c r="K36" s="31" t="n">
        <x:v>25461</x:v>
      </x:c>
      <x:c r="L36" s="34" t="n">
        <x:v>0.064</x:v>
      </x:c>
      <x:c r="M36" s="34" t="n">
        <x:v>0.127</x:v>
      </x:c>
      <x:c r="N36" s="34" t="n">
        <x:v>0.17600000000000002</x:v>
      </x:c>
      <x:c r="O36" s="34" t="n">
        <x:v>0.239</x:v>
      </x:c>
      <x:c r="P36" s="34" t="n">
        <x:v>0.39399999999999996</x:v>
      </x:c>
      <x:c r="Q36" s="40" t="str"/>
      <x:c r="R36" s="40" t="str"/>
      <x:c r="S36" s="40" t="str">
        <x:v>https://ec.europa.eu/eurostat/api/dissemination/statistics/1.0/data/ilc_di01?geo=ES&amp;lang=en</x:v>
      </x:c>
      <x:c r="T36" s="40" t="str">
        <x:v>https://ec.europa.eu/eurostat/api/dissemination/statistics/1.0/data/ilc_di03?geo=ES&amp;lang=en</x:v>
      </x:c>
    </x:row>
    <x:row r="37">
      <x:c r="A37" s="25" t="n">
        <x:v>2022</x:v>
      </x:c>
      <x:c r="B37" s="31" t="n">
        <x:v>19160</x:v>
      </x:c>
      <x:c r="C37" s="31" t="n">
        <x:f>IF(L37="","",B37*L37/'Parametros'!$B$5)</x:f>
        <x:v>6610.200000000001</x:v>
      </x:c>
      <x:c r="D37" s="31" t="n">
        <x:f>IF(M37="","",B37*M37/'Parametros'!$B$5)</x:f>
        <x:v>12358.199999999999</x:v>
      </x:c>
      <x:c r="E37" s="31" t="n">
        <x:f>IF(N37="","",B37*N37/'Parametros'!$B$5)</x:f>
        <x:v>16956.6</x:v>
      </x:c>
      <x:c r="F37" s="31" t="n">
        <x:f>IF(O37="","",B37*O37/'Parametros'!$B$5)</x:f>
        <x:v>22704.6</x:v>
      </x:c>
      <x:c r="G37" s="31" t="n">
        <x:f>IF(P37="","",B37*P37/'Parametros'!$B$5)</x:f>
        <x:v>37266.200000000004</x:v>
      </x:c>
      <x:c r="H37" s="31" t="n">
        <x:v>9957</x:v>
      </x:c>
      <x:c r="I37" s="31" t="n">
        <x:v>14575</x:v>
      </x:c>
      <x:c r="J37" s="31" t="n">
        <x:v>19477</x:v>
      </x:c>
      <x:c r="K37" s="31" t="n">
        <x:v>26619</x:v>
      </x:c>
      <x:c r="L37" s="34" t="n">
        <x:v>0.069</x:v>
      </x:c>
      <x:c r="M37" s="34" t="n">
        <x:v>0.129</x:v>
      </x:c>
      <x:c r="N37" s="34" t="n">
        <x:v>0.177</x:v>
      </x:c>
      <x:c r="O37" s="34" t="n">
        <x:v>0.237</x:v>
      </x:c>
      <x:c r="P37" s="34" t="n">
        <x:v>0.389</x:v>
      </x:c>
      <x:c r="Q37" s="40" t="str"/>
      <x:c r="R37" s="40" t="str"/>
      <x:c r="S37" s="40" t="str">
        <x:v>https://ec.europa.eu/eurostat/api/dissemination/statistics/1.0/data/ilc_di01?geo=ES&amp;lang=en</x:v>
      </x:c>
      <x:c r="T37" s="40" t="str">
        <x:v>https://ec.europa.eu/eurostat/api/dissemination/statistics/1.0/data/ilc_di03?geo=ES&amp;lang=en</x:v>
      </x:c>
    </x:row>
    <x:row r="38">
      <x:c r="A38" s="26" t="n">
        <x:v>2023</x:v>
      </x:c>
      <x:c r="B38" s="32" t="n">
        <x:v>20676</x:v>
      </x:c>
      <x:c r="C38" s="32" t="n">
        <x:f>IF(L38="","",B38*L38/'Parametros'!$B$5)</x:f>
        <x:v>7236.6</x:v>
      </x:c>
      <x:c r="D38" s="32" t="n">
        <x:f>IF(M38="","",B38*M38/'Parametros'!$B$5)</x:f>
        <x:v>13542.779999999999</x:v>
      </x:c>
      <x:c r="E38" s="32" t="n">
        <x:f>IF(N38="","",B38*N38/'Parametros'!$B$5)</x:f>
        <x:v>18298.26</x:v>
      </x:c>
      <x:c r="F38" s="32" t="n">
        <x:f>IF(O38="","",B38*O38/'Parametros'!$B$5)</x:f>
        <x:v>24190.919999999995</x:v>
      </x:c>
      <x:c r="G38" s="32" t="n">
        <x:f>IF(P38="","",B38*P38/'Parametros'!$B$5)</x:f>
        <x:v>40008.06</x:v>
      </x:c>
      <x:c r="H38" s="32" t="n">
        <x:v>10928</x:v>
      </x:c>
      <x:c r="I38" s="32" t="n">
        <x:v>15901</x:v>
      </x:c>
      <x:c r="J38" s="32" t="n">
        <x:v>20856</x:v>
      </x:c>
      <x:c r="K38" s="32" t="n">
        <x:v>28345</x:v>
      </x:c>
      <x:c r="L38" s="35" t="n">
        <x:v>0.07</x:v>
      </x:c>
      <x:c r="M38" s="35" t="n">
        <x:v>0.131</x:v>
      </x:c>
      <x:c r="N38" s="35" t="n">
        <x:v>0.177</x:v>
      </x:c>
      <x:c r="O38" s="35" t="n">
        <x:v>0.23399999999999999</x:v>
      </x:c>
      <x:c r="P38" s="35" t="n">
        <x:v>0.387</x:v>
      </x:c>
      <x:c r="Q38" s="41" t="str"/>
      <x:c r="R38" s="41" t="str"/>
      <x:c r="S38" s="41" t="str">
        <x:v>https://ec.europa.eu/eurostat/api/dissemination/statistics/1.0/data/ilc_di01?geo=ES&amp;lang=en</x:v>
      </x:c>
      <x:c r="T38" s="41" t="str">
        <x:v>https://ec.europa.eu/eurostat/api/dissemination/statistics/1.0/data/ilc_di03?geo=ES&amp;lang=en</x:v>
      </x:c>
    </x:row>
  </x:sheetData>
  <x:mergeCells>
    <x:mergeCell ref="A1:T1"/>
    <x:mergeCell ref="A2:T2"/>
  </x:mergeCells>
  <x:pageMargins left="0.7" right="0.7" top="0.75" bottom="0.75" header="0.3" footer="0.3"/>
  <x:tableParts count="1">
    <x:tablePart xmlns:r="http://schemas.openxmlformats.org/officeDocument/2006/relationships" r:id="Rf1f1e34a5eaa444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7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7" hidden="0" customWidth="1"/>
    <x:col min="9" max="9" width="15" hidden="0" customWidth="1"/>
    <x:col min="10" max="10" width="15" hidden="0" customWidth="1"/>
    <x:col min="11" max="11" width="15" hidden="0" customWidth="1"/>
    <x:col min="12" max="12" width="17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6" hidden="0" customWidth="1"/>
    <x:col min="18" max="18" width="14" hidden="0" customWidth="1"/>
    <x:col min="19" max="19" width="14" hidden="0" customWidth="1"/>
    <x:col min="20" max="20" width="16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2" hidden="0" customWidth="1"/>
    <x:col min="28" max="28" width="34" hidden="0" customWidth="1"/>
  </x:cols>
  <x:sheetData>
    <x:row r="1" ht="28" customHeight="1">
      <x:c r="A1" s="3" t="str">
        <x:v>WID: datos fuente descargados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</x:row>
    <x:row r="2" ht="34" customHeight="1">
      <x:c r="A2" s="7" t="str">
        <x:v>Variable aptincj992: renta nacional antes de impuestos, adultos, reparto igualitario. Importes monetarios en euros de 2025.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  <x:c r="W2" s="7"/>
      <x:c r="X2" s="7"/>
      <x:c r="Y2" s="7"/>
      <x:c r="Z2" s="7"/>
      <x:c r="AA2" s="7"/>
      <x:c r="AB2" s="7"/>
    </x:row>
    <x:row r="4" ht="36" customHeight="1">
      <x:c r="A4" s="13" t="str">
        <x:v>Ano</x:v>
      </x:c>
      <x:c r="B4" s="13" t="str">
        <x:v>Indice precios (2025=1)</x:v>
      </x:c>
      <x:c r="C4" s="13" t="str">
        <x:v>Media P0-P100</x:v>
      </x:c>
      <x:c r="D4" s="13" t="str">
        <x:v>Media P0-P20</x:v>
      </x:c>
      <x:c r="E4" s="13" t="str">
        <x:v>Media P0-P40</x:v>
      </x:c>
      <x:c r="F4" s="13" t="str">
        <x:v>Media P0-P60</x:v>
      </x:c>
      <x:c r="G4" s="13" t="str">
        <x:v>Media P0-P80</x:v>
      </x:c>
      <x:c r="H4" s="13" t="str">
        <x:v>Media P80-P100</x:v>
      </x:c>
      <x:c r="I4" s="13" t="str">
        <x:v>Media P0-P90</x:v>
      </x:c>
      <x:c r="J4" s="13" t="str">
        <x:v>Media P80-P90</x:v>
      </x:c>
      <x:c r="K4" s="13" t="str">
        <x:v>Media P0-P99</x:v>
      </x:c>
      <x:c r="L4" s="13" t="str">
        <x:v>Media P99-P100</x:v>
      </x:c>
      <x:c r="M4" s="13" t="str">
        <x:v>Cuota P0-P20</x:v>
      </x:c>
      <x:c r="N4" s="13" t="str">
        <x:v>Cuota P0-P40</x:v>
      </x:c>
      <x:c r="O4" s="13" t="str">
        <x:v>Cuota P0-P60</x:v>
      </x:c>
      <x:c r="P4" s="13" t="str">
        <x:v>Cuota P0-P80</x:v>
      </x:c>
      <x:c r="Q4" s="13" t="str">
        <x:v>Cuota P80-P100</x:v>
      </x:c>
      <x:c r="R4" s="13" t="str">
        <x:v>Cuota P0-P90</x:v>
      </x:c>
      <x:c r="S4" s="13" t="str">
        <x:v>Cuota P0-P99</x:v>
      </x:c>
      <x:c r="T4" s="13" t="str">
        <x:v>Cuota P99-P100</x:v>
      </x:c>
      <x:c r="U4" s="13" t="str">
        <x:v>Umbral P20</x:v>
      </x:c>
      <x:c r="V4" s="13" t="str">
        <x:v>Umbral P40</x:v>
      </x:c>
      <x:c r="W4" s="13" t="str">
        <x:v>Umbral P60</x:v>
      </x:c>
      <x:c r="X4" s="13" t="str">
        <x:v>Umbral P80</x:v>
      </x:c>
      <x:c r="Y4" s="13" t="str">
        <x:v>Umbral P90</x:v>
      </x:c>
      <x:c r="Z4" s="13" t="str">
        <x:v>Umbral P99</x:v>
      </x:c>
      <x:c r="AA4" s="13" t="str">
        <x:v>Calidad WID</x:v>
      </x:c>
      <x:c r="AB4" s="13" t="str">
        <x:v>Fuente URL</x:v>
      </x:c>
    </x:row>
    <x:row r="5">
      <x:c r="A5" s="24" t="n">
        <x:v>1990</x:v>
      </x:c>
      <x:c r="B5" s="27" t="n">
        <x:v>0.3834484815597534</x:v>
      </x:c>
      <x:c r="C5" s="30" t="n">
        <x:v>26513.7</x:v>
      </x:c>
      <x:c r="D5" s="30" t="n">
        <x:v>3689.9</x:v>
      </x:c>
      <x:c r="E5" s="30" t="n">
        <x:v>8251.300000000001</x:v>
      </x:c>
      <x:c r="F5" s="30" t="n">
        <x:v>11816.4</x:v>
      </x:c>
      <x:c r="G5" s="30" t="n">
        <x:v>15803</x:v>
      </x:c>
      <x:c r="H5" s="30" t="n">
        <x:v>69356.40000000001</x:v>
      </x:c>
      <x:c r="I5" s="30" t="n">
        <x:v>18648.7</x:v>
      </x:c>
      <x:c r="J5" s="30" t="n">
        <x:v>41414.10000000001</x:v>
      </x:c>
      <x:c r="K5" s="30" t="n">
        <x:v>23653.9</x:v>
      </x:c>
      <x:c r="L5" s="30" t="n">
        <x:v>309632.4</x:v>
      </x:c>
      <x:c r="M5" s="33" t="n">
        <x:v>0.0278</x:v>
      </x:c>
      <x:c r="N5" s="33" t="n">
        <x:v>0.1245</x:v>
      </x:c>
      <x:c r="O5" s="33" t="n">
        <x:v>0.2674</x:v>
      </x:c>
      <x:c r="P5" s="33" t="n">
        <x:v>0.4768</x:v>
      </x:c>
      <x:c r="Q5" s="33" t="n">
        <x:v>0.5232</x:v>
      </x:c>
      <x:c r="R5" s="33" t="n">
        <x:v>0.633</x:v>
      </x:c>
      <x:c r="S5" s="33" t="n">
        <x:v>0.8832000000000001</x:v>
      </x:c>
      <x:c r="T5" s="33" t="n">
        <x:v>0.1168</x:v>
      </x:c>
      <x:c r="U5" s="30" t="n">
        <x:v>9675.7</x:v>
      </x:c>
      <x:c r="V5" s="30" t="n">
        <x:v>15703.9</x:v>
      </x:c>
      <x:c r="W5" s="30" t="n">
        <x:v>22428.8</x:v>
      </x:c>
      <x:c r="X5" s="30" t="n">
        <x:v>35110.7</x:v>
      </x:c>
      <x:c r="Y5" s="30" t="n">
        <x:v>50251.9</x:v>
      </x:c>
      <x:c r="Z5" s="30" t="n">
        <x:v>139094.4</x:v>
      </x:c>
      <x:c r="AA5" s="36" t="n">
        <x:v>4</x:v>
      </x:c>
      <x:c r="AB5" s="39" t="str">
        <x:v>https://wid.world/bulk_download/WID_data_ES.csv</x:v>
      </x:c>
    </x:row>
    <x:row r="6">
      <x:c r="A6" s="25" t="n">
        <x:v>1991</x:v>
      </x:c>
      <x:c r="B6" s="28" t="n">
        <x:v>0.4100412130355835</x:v>
      </x:c>
      <x:c r="C6" s="31" t="n">
        <x:v>26911.6</x:v>
      </x:c>
      <x:c r="D6" s="31" t="n">
        <x:v>3909.4</x:v>
      </x:c>
      <x:c r="E6" s="31" t="n">
        <x:v>8521.1</x:v>
      </x:c>
      <x:c r="F6" s="31" t="n">
        <x:v>12174.5</x:v>
      </x:c>
      <x:c r="G6" s="31" t="n">
        <x:v>16264.1</x:v>
      </x:c>
      <x:c r="H6" s="31" t="n">
        <x:v>69501.7</x:v>
      </x:c>
      <x:c r="I6" s="31" t="n">
        <x:v>19134.2</x:v>
      </x:c>
      <x:c r="J6" s="31" t="n">
        <x:v>42095.5</x:v>
      </x:c>
      <x:c r="K6" s="31" t="n">
        <x:v>24076.2</x:v>
      </x:c>
      <x:c r="L6" s="31" t="n">
        <x:v>307613</x:v>
      </x:c>
      <x:c r="M6" s="34" t="n">
        <x:v>0.0291</x:v>
      </x:c>
      <x:c r="N6" s="34" t="n">
        <x:v>0.1267</x:v>
      </x:c>
      <x:c r="O6" s="34" t="n">
        <x:v>0.2714</x:v>
      </x:c>
      <x:c r="P6" s="34" t="n">
        <x:v>0.4835</x:v>
      </x:c>
      <x:c r="Q6" s="34" t="n">
        <x:v>0.5165000000000001</x:v>
      </x:c>
      <x:c r="R6" s="34" t="n">
        <x:v>0.6399</x:v>
      </x:c>
      <x:c r="S6" s="34" t="n">
        <x:v>0.8857</x:v>
      </x:c>
      <x:c r="T6" s="34" t="n">
        <x:v>0.1143</x:v>
      </x:c>
      <x:c r="U6" s="31" t="n">
        <x:v>10251.4</x:v>
      </x:c>
      <x:c r="V6" s="31" t="n">
        <x:v>15947.7</x:v>
      </x:c>
      <x:c r="W6" s="31" t="n">
        <x:v>23118.5</x:v>
      </x:c>
      <x:c r="X6" s="31" t="n">
        <x:v>35540.9</x:v>
      </x:c>
      <x:c r="Y6" s="31" t="n">
        <x:v>50775.9</x:v>
      </x:c>
      <x:c r="Z6" s="31" t="n">
        <x:v>137248.5</x:v>
      </x:c>
      <x:c r="AA6" s="37" t="n">
        <x:v>4</x:v>
      </x:c>
      <x:c r="AB6" s="40" t="str">
        <x:v>https://wid.world/bulk_download/WID_data_ES.csv</x:v>
      </x:c>
    </x:row>
    <x:row r="7">
      <x:c r="A7" s="25" t="n">
        <x:v>1992</x:v>
      </x:c>
      <x:c r="B7" s="28" t="n">
        <x:v>0.437558114528656</x:v>
      </x:c>
      <x:c r="C7" s="31" t="n">
        <x:v>26758.7</x:v>
      </x:c>
      <x:c r="D7" s="31" t="n">
        <x:v>3934.4</x:v>
      </x:c>
      <x:c r="E7" s="31" t="n">
        <x:v>8627.6</x:v>
      </x:c>
      <x:c r="F7" s="31" t="n">
        <x:v>12329.9</x:v>
      </x:c>
      <x:c r="G7" s="31" t="n">
        <x:v>16428.8</x:v>
      </x:c>
      <x:c r="H7" s="31" t="n">
        <x:v>68078.40000000001</x:v>
      </x:c>
      <x:c r="I7" s="31" t="n">
        <x:v>19247.5</x:v>
      </x:c>
      <x:c r="J7" s="31" t="n">
        <x:v>41797</x:v>
      </x:c>
      <x:c r="K7" s="31" t="n">
        <x:v>23986.1</x:v>
      </x:c>
      <x:c r="L7" s="31" t="n">
        <x:v>301249.3</x:v>
      </x:c>
      <x:c r="M7" s="34" t="n">
        <x:v>0.0294</x:v>
      </x:c>
      <x:c r="N7" s="34" t="n">
        <x:v>0.129</x:v>
      </x:c>
      <x:c r="O7" s="34" t="n">
        <x:v>0.2765</x:v>
      </x:c>
      <x:c r="P7" s="34" t="n">
        <x:v>0.4912</x:v>
      </x:c>
      <x:c r="Q7" s="34" t="n">
        <x:v>0.5088</x:v>
      </x:c>
      <x:c r="R7" s="34" t="n">
        <x:v>0.6474000000000001</x:v>
      </x:c>
      <x:c r="S7" s="34" t="n">
        <x:v>0.8874000000000001</x:v>
      </x:c>
      <x:c r="T7" s="34" t="n">
        <x:v>0.1126</x:v>
      </x:c>
      <x:c r="U7" s="31" t="n">
        <x:v>10317</x:v>
      </x:c>
      <x:c r="V7" s="31" t="n">
        <x:v>16353.8</x:v>
      </x:c>
      <x:c r="W7" s="31" t="n">
        <x:v>23334.9</x:v>
      </x:c>
      <x:c r="X7" s="31" t="n">
        <x:v>35601.4</x:v>
      </x:c>
      <x:c r="Y7" s="31" t="n">
        <x:v>49573.2</x:v>
      </x:c>
      <x:c r="Z7" s="31" t="n">
        <x:v>132978.7</x:v>
      </x:c>
      <x:c r="AA7" s="37" t="n">
        <x:v>4</x:v>
      </x:c>
      <x:c r="AB7" s="40" t="str">
        <x:v>https://wid.world/bulk_download/WID_data_ES.csv</x:v>
      </x:c>
    </x:row>
    <x:row r="8">
      <x:c r="A8" s="25" t="n">
        <x:v>1993</x:v>
      </x:c>
      <x:c r="B8" s="28" t="n">
        <x:v>0.4574111104011536</x:v>
      </x:c>
      <x:c r="C8" s="31" t="n">
        <x:v>25981.9</x:v>
      </x:c>
      <x:c r="D8" s="31" t="n">
        <x:v>3876.2</x:v>
      </x:c>
      <x:c r="E8" s="31" t="n">
        <x:v>8496.800000000001</x:v>
      </x:c>
      <x:c r="F8" s="31" t="n">
        <x:v>12168.8</x:v>
      </x:c>
      <x:c r="G8" s="31" t="n">
        <x:v>16187.5</x:v>
      </x:c>
      <x:c r="H8" s="31" t="n">
        <x:v>65159.60000000001</x:v>
      </x:c>
      <x:c r="I8" s="31" t="n">
        <x:v>18858.1</x:v>
      </x:c>
      <x:c r="J8" s="31" t="n">
        <x:v>40222.8</x:v>
      </x:c>
      <x:c r="K8" s="31" t="n">
        <x:v>23358.8</x:v>
      </x:c>
      <x:c r="L8" s="31" t="n">
        <x:v>285665.3</x:v>
      </x:c>
      <x:c r="M8" s="34" t="n">
        <x:v>0.0298</x:v>
      </x:c>
      <x:c r="N8" s="34" t="n">
        <x:v>0.1308</x:v>
      </x:c>
      <x:c r="O8" s="34" t="n">
        <x:v>0.281</x:v>
      </x:c>
      <x:c r="P8" s="34" t="n">
        <x:v>0.4984</x:v>
      </x:c>
      <x:c r="Q8" s="34" t="n">
        <x:v>0.5016</x:v>
      </x:c>
      <x:c r="R8" s="34" t="n">
        <x:v>0.6532</x:v>
      </x:c>
      <x:c r="S8" s="34" t="n">
        <x:v>0.8901</x:v>
      </x:c>
      <x:c r="T8" s="34" t="n">
        <x:v>0.1099</x:v>
      </x:c>
      <x:c r="U8" s="31" t="n">
        <x:v>10164.2</x:v>
      </x:c>
      <x:c r="V8" s="31" t="n">
        <x:v>16134.5</x:v>
      </x:c>
      <x:c r="W8" s="31" t="n">
        <x:v>23035.6</x:v>
      </x:c>
      <x:c r="X8" s="31" t="n">
        <x:v>34197.6</x:v>
      </x:c>
      <x:c r="Y8" s="31" t="n">
        <x:v>47878.2</x:v>
      </x:c>
      <x:c r="Z8" s="31" t="n">
        <x:v>126317.9</x:v>
      </x:c>
      <x:c r="AA8" s="37" t="n">
        <x:v>4</x:v>
      </x:c>
      <x:c r="AB8" s="40" t="str">
        <x:v>https://wid.world/bulk_download/WID_data_ES.csv</x:v>
      </x:c>
    </x:row>
    <x:row r="9">
      <x:c r="A9" s="25" t="n">
        <x:v>1994</x:v>
      </x:c>
      <x:c r="B9" s="28" t="n">
        <x:v>0.4751578569412231</x:v>
      </x:c>
      <x:c r="C9" s="31" t="n">
        <x:v>25964</x:v>
      </x:c>
      <x:c r="D9" s="31" t="n">
        <x:v>3750.7</x:v>
      </x:c>
      <x:c r="E9" s="31" t="n">
        <x:v>8311</x:v>
      </x:c>
      <x:c r="F9" s="31" t="n">
        <x:v>11970.7</x:v>
      </x:c>
      <x:c r="G9" s="31" t="n">
        <x:v>16014.7</x:v>
      </x:c>
      <x:c r="H9" s="31" t="n">
        <x:v>65761.3</x:v>
      </x:c>
      <x:c r="I9" s="31" t="n">
        <x:v>18683.8</x:v>
      </x:c>
      <x:c r="J9" s="31" t="n">
        <x:v>40036.2</x:v>
      </x:c>
      <x:c r="K9" s="31" t="n">
        <x:v>23241</x:v>
      </x:c>
      <x:c r="L9" s="31" t="n">
        <x:v>295548.3</x:v>
      </x:c>
      <x:c r="M9" s="34" t="n">
        <x:v>0.0289</x:v>
      </x:c>
      <x:c r="N9" s="34" t="n">
        <x:v>0.128</x:v>
      </x:c>
      <x:c r="O9" s="34" t="n">
        <x:v>0.2766</x:v>
      </x:c>
      <x:c r="P9" s="34" t="n">
        <x:v>0.4934</x:v>
      </x:c>
      <x:c r="Q9" s="34" t="n">
        <x:v>0.5066</x:v>
      </x:c>
      <x:c r="R9" s="34" t="n">
        <x:v>0.6476000000000001</x:v>
      </x:c>
      <x:c r="S9" s="34" t="n">
        <x:v>0.8862</x:v>
      </x:c>
      <x:c r="T9" s="34" t="n">
        <x:v>0.1138</x:v>
      </x:c>
      <x:c r="U9" s="31" t="n">
        <x:v>9835.2</x:v>
      </x:c>
      <x:c r="V9" s="31" t="n">
        <x:v>15844</x:v>
      </x:c>
      <x:c r="W9" s="31" t="n">
        <x:v>22833.3</x:v>
      </x:c>
      <x:c r="X9" s="31" t="n">
        <x:v>34339</x:v>
      </x:c>
      <x:c r="Y9" s="31" t="n">
        <x:v>48087</x:v>
      </x:c>
      <x:c r="Z9" s="31" t="n">
        <x:v>127780.3</x:v>
      </x:c>
      <x:c r="AA9" s="37" t="n">
        <x:v>4</x:v>
      </x:c>
      <x:c r="AB9" s="40" t="str">
        <x:v>https://wid.world/bulk_download/WID_data_ES.csv</x:v>
      </x:c>
    </x:row>
    <x:row r="10">
      <x:c r="A10" s="25" t="n">
        <x:v>1995</x:v>
      </x:c>
      <x:c r="B10" s="28" t="n">
        <x:v>0.4985981583595276</x:v>
      </x:c>
      <x:c r="C10" s="31" t="n">
        <x:v>26426</x:v>
      </x:c>
      <x:c r="D10" s="31" t="n">
        <x:v>3697.3</x:v>
      </x:c>
      <x:c r="E10" s="31" t="n">
        <x:v>8328.6</x:v>
      </x:c>
      <x:c r="F10" s="31" t="n">
        <x:v>12059.2</x:v>
      </x:c>
      <x:c r="G10" s="31" t="n">
        <x:v>16190.4</x:v>
      </x:c>
      <x:c r="H10" s="31" t="n">
        <x:v>67368.2</x:v>
      </x:c>
      <x:c r="I10" s="31" t="n">
        <x:v>18932.5</x:v>
      </x:c>
      <x:c r="J10" s="31" t="n">
        <x:v>40869.4</x:v>
      </x:c>
      <x:c r="K10" s="31" t="n">
        <x:v>23576.6</x:v>
      </x:c>
      <x:c r="L10" s="31" t="n">
        <x:v>308519.2</x:v>
      </x:c>
      <x:c r="M10" s="34" t="n">
        <x:v>0.028</x:v>
      </x:c>
      <x:c r="N10" s="34" t="n">
        <x:v>0.1261</x:v>
      </x:c>
      <x:c r="O10" s="34" t="n">
        <x:v>0.2738</x:v>
      </x:c>
      <x:c r="P10" s="34" t="n">
        <x:v>0.4901</x:v>
      </x:c>
      <x:c r="Q10" s="34" t="n">
        <x:v>0.5099</x:v>
      </x:c>
      <x:c r="R10" s="34" t="n">
        <x:v>0.6448</x:v>
      </x:c>
      <x:c r="S10" s="34" t="n">
        <x:v>0.8833000000000001</x:v>
      </x:c>
      <x:c r="T10" s="34" t="n">
        <x:v>0.1167</x:v>
      </x:c>
      <x:c r="U10" s="31" t="n">
        <x:v>9695.3</x:v>
      </x:c>
      <x:c r="V10" s="31" t="n">
        <x:v>16120.9</x:v>
      </x:c>
      <x:c r="W10" s="31" t="n">
        <x:v>23172.9</x:v>
      </x:c>
      <x:c r="X10" s="31" t="n">
        <x:v>35417.6</x:v>
      </x:c>
      <x:c r="Y10" s="31" t="n">
        <x:v>48614</x:v>
      </x:c>
      <x:c r="Z10" s="31" t="n">
        <x:v>131214.1</x:v>
      </x:c>
      <x:c r="AA10" s="37" t="n">
        <x:v>4</x:v>
      </x:c>
      <x:c r="AB10" s="40" t="str">
        <x:v>https://wid.world/bulk_download/WID_data_ES.csv</x:v>
      </x:c>
    </x:row>
    <x:row r="11">
      <x:c r="A11" s="25" t="n">
        <x:v>1996</x:v>
      </x:c>
      <x:c r="B11" s="28" t="n">
        <x:v>0.5162149667739868</x:v>
      </x:c>
      <x:c r="C11" s="31" t="n">
        <x:v>26689.4</x:v>
      </x:c>
      <x:c r="D11" s="31" t="n">
        <x:v>3873.5</x:v>
      </x:c>
      <x:c r="E11" s="31" t="n">
        <x:v>8546.4</x:v>
      </x:c>
      <x:c r="F11" s="31" t="n">
        <x:v>12252.6</x:v>
      </x:c>
      <x:c r="G11" s="31" t="n">
        <x:v>16395.1</x:v>
      </x:c>
      <x:c r="H11" s="31" t="n">
        <x:v>67866.3</x:v>
      </x:c>
      <x:c r="I11" s="31" t="n">
        <x:v>19165.7</x:v>
      </x:c>
      <x:c r="J11" s="31" t="n">
        <x:v>41330.60000000001</x:v>
      </x:c>
      <x:c r="K11" s="31" t="n">
        <x:v>23852.8</x:v>
      </x:c>
      <x:c r="L11" s="31" t="n">
        <x:v>307504.2</x:v>
      </x:c>
      <x:c r="M11" s="34" t="n">
        <x:v>0.029</x:v>
      </x:c>
      <x:c r="N11" s="34" t="n">
        <x:v>0.1281</x:v>
      </x:c>
      <x:c r="O11" s="34" t="n">
        <x:v>0.2754</x:v>
      </x:c>
      <x:c r="P11" s="34" t="n">
        <x:v>0.4914</x:v>
      </x:c>
      <x:c r="Q11" s="34" t="n">
        <x:v>0.5086</x:v>
      </x:c>
      <x:c r="R11" s="34" t="n">
        <x:v>0.6463</x:v>
      </x:c>
      <x:c r="S11" s="34" t="n">
        <x:v>0.8848</x:v>
      </x:c>
      <x:c r="T11" s="34" t="n">
        <x:v>0.1152</x:v>
      </x:c>
      <x:c r="U11" s="31" t="n">
        <x:v>10157.3</x:v>
      </x:c>
      <x:c r="V11" s="31" t="n">
        <x:v>16358.4</x:v>
      </x:c>
      <x:c r="W11" s="31" t="n">
        <x:v>23461.7</x:v>
      </x:c>
      <x:c r="X11" s="31" t="n">
        <x:v>35722.9</x:v>
      </x:c>
      <x:c r="Y11" s="31" t="n">
        <x:v>49166.60000000001</x:v>
      </x:c>
      <x:c r="Z11" s="31" t="n">
        <x:v>132161.6</x:v>
      </x:c>
      <x:c r="AA11" s="37" t="n">
        <x:v>4</x:v>
      </x:c>
      <x:c r="AB11" s="40" t="str">
        <x:v>https://wid.world/bulk_download/WID_data_ES.csv</x:v>
      </x:c>
    </x:row>
    <x:row r="12">
      <x:c r="A12" s="25" t="n">
        <x:v>1997</x:v>
      </x:c>
      <x:c r="B12" s="28" t="n">
        <x:v>0.5289396643638611</x:v>
      </x:c>
      <x:c r="C12" s="31" t="n">
        <x:v>27190.3</x:v>
      </x:c>
      <x:c r="D12" s="31" t="n">
        <x:v>4046.1</x:v>
      </x:c>
      <x:c r="E12" s="31" t="n">
        <x:v>8985.7</x:v>
      </x:c>
      <x:c r="F12" s="31" t="n">
        <x:v>12844</x:v>
      </x:c>
      <x:c r="G12" s="31" t="n">
        <x:v>17082.1</x:v>
      </x:c>
      <x:c r="H12" s="31" t="n">
        <x:v>67623.2</x:v>
      </x:c>
      <x:c r="I12" s="31" t="n">
        <x:v>19848.1</x:v>
      </x:c>
      <x:c r="J12" s="31" t="n">
        <x:v>41976.3</x:v>
      </x:c>
      <x:c r="K12" s="31" t="n">
        <x:v>24451</x:v>
      </x:c>
      <x:c r="L12" s="31" t="n">
        <x:v>298378.8</x:v>
      </x:c>
      <x:c r="M12" s="34" t="n">
        <x:v>0.0298</x:v>
      </x:c>
      <x:c r="N12" s="34" t="n">
        <x:v>0.1322</x:v>
      </x:c>
      <x:c r="O12" s="34" t="n">
        <x:v>0.2834</x:v>
      </x:c>
      <x:c r="P12" s="34" t="n">
        <x:v>0.5026</x:v>
      </x:c>
      <x:c r="Q12" s="34" t="n">
        <x:v>0.4974</x:v>
      </x:c>
      <x:c r="R12" s="34" t="n">
        <x:v>0.657</x:v>
      </x:c>
      <x:c r="S12" s="34" t="n">
        <x:v>0.8903000000000001</x:v>
      </x:c>
      <x:c r="T12" s="34" t="n">
        <x:v>0.1097</x:v>
      </x:c>
      <x:c r="U12" s="31" t="n">
        <x:v>10609.8</x:v>
      </x:c>
      <x:c r="V12" s="31" t="n">
        <x:v>17101.3</x:v>
      </x:c>
      <x:c r="W12" s="31" t="n">
        <x:v>24464</x:v>
      </x:c>
      <x:c r="X12" s="31" t="n">
        <x:v>36583.3</x:v>
      </x:c>
      <x:c r="Y12" s="31" t="n">
        <x:v>49360</x:v>
      </x:c>
      <x:c r="Z12" s="31" t="n">
        <x:v>130480.2</x:v>
      </x:c>
      <x:c r="AA12" s="37" t="n">
        <x:v>4</x:v>
      </x:c>
      <x:c r="AB12" s="40" t="str">
        <x:v>https://wid.world/bulk_download/WID_data_ES.csv</x:v>
      </x:c>
    </x:row>
    <x:row r="13">
      <x:c r="A13" s="25" t="n">
        <x:v>1998</x:v>
      </x:c>
      <x:c r="B13" s="28" t="n">
        <x:v>0.5428760647773743</x:v>
      </x:c>
      <x:c r="C13" s="31" t="n">
        <x:v>27977</x:v>
      </x:c>
      <x:c r="D13" s="31" t="n">
        <x:v>4216.5</x:v>
      </x:c>
      <x:c r="E13" s="31" t="n">
        <x:v>9152.8</x:v>
      </x:c>
      <x:c r="F13" s="31" t="n">
        <x:v>13078.4</x:v>
      </x:c>
      <x:c r="G13" s="31" t="n">
        <x:v>17472.5</x:v>
      </x:c>
      <x:c r="H13" s="31" t="n">
        <x:v>69994.7</x:v>
      </x:c>
      <x:c r="I13" s="31" t="n">
        <x:v>20395.6</x:v>
      </x:c>
      <x:c r="J13" s="31" t="n">
        <x:v>43780.5</x:v>
      </x:c>
      <x:c r="K13" s="31" t="n">
        <x:v>25154.2</x:v>
      </x:c>
      <x:c r="L13" s="31" t="n">
        <x:v>307429.5</x:v>
      </x:c>
      <x:c r="M13" s="34" t="n">
        <x:v>0.0301</x:v>
      </x:c>
      <x:c r="N13" s="34" t="n">
        <x:v>0.1309</x:v>
      </x:c>
      <x:c r="O13" s="34" t="n">
        <x:v>0.2805</x:v>
      </x:c>
      <x:c r="P13" s="34" t="n">
        <x:v>0.4996</x:v>
      </x:c>
      <x:c r="Q13" s="34" t="n">
        <x:v>0.5004000000000001</x:v>
      </x:c>
      <x:c r="R13" s="34" t="n">
        <x:v>0.6561</x:v>
      </x:c>
      <x:c r="S13" s="34" t="n">
        <x:v>0.8901</x:v>
      </x:c>
      <x:c r="T13" s="34" t="n">
        <x:v>0.1099</x:v>
      </x:c>
      <x:c r="U13" s="31" t="n">
        <x:v>11056.5</x:v>
      </x:c>
      <x:c r="V13" s="31" t="n">
        <x:v>17371.1</x:v>
      </x:c>
      <x:c r="W13" s="31" t="n">
        <x:v>25334.8</x:v>
      </x:c>
      <x:c r="X13" s="31" t="n">
        <x:v>37591.8</x:v>
      </x:c>
      <x:c r="Y13" s="31" t="n">
        <x:v>51071.7</x:v>
      </x:c>
      <x:c r="Z13" s="31" t="n">
        <x:v>134401.6</x:v>
      </x:c>
      <x:c r="AA13" s="37" t="n">
        <x:v>4</x:v>
      </x:c>
      <x:c r="AB13" s="40" t="str">
        <x:v>https://wid.world/bulk_download/WID_data_ES.csv</x:v>
      </x:c>
    </x:row>
    <x:row r="14">
      <x:c r="A14" s="25" t="n">
        <x:v>1999</x:v>
      </x:c>
      <x:c r="B14" s="28" t="n">
        <x:v>0.5570917725563049</x:v>
      </x:c>
      <x:c r="C14" s="31" t="n">
        <x:v>28608.7</x:v>
      </x:c>
      <x:c r="D14" s="31" t="n">
        <x:v>4195.1</x:v>
      </x:c>
      <x:c r="E14" s="31" t="n">
        <x:v>9235.1</x:v>
      </x:c>
      <x:c r="F14" s="31" t="n">
        <x:v>13264.2</x:v>
      </x:c>
      <x:c r="G14" s="31" t="n">
        <x:v>17760.4</x:v>
      </x:c>
      <x:c r="H14" s="31" t="n">
        <x:v>72001.7</x:v>
      </x:c>
      <x:c r="I14" s="31" t="n">
        <x:v>20771.6</x:v>
      </x:c>
      <x:c r="J14" s="31" t="n">
        <x:v>44861.3</x:v>
      </x:c>
      <x:c r="K14" s="31" t="n">
        <x:v>25667.1</x:v>
      </x:c>
      <x:c r="L14" s="31" t="n">
        <x:v>319819.9</x:v>
      </x:c>
      <x:c r="M14" s="34" t="n">
        <x:v>0.0293</x:v>
      </x:c>
      <x:c r="N14" s="34" t="n">
        <x:v>0.1291</x:v>
      </x:c>
      <x:c r="O14" s="34" t="n">
        <x:v>0.2782</x:v>
      </x:c>
      <x:c r="P14" s="34" t="n">
        <x:v>0.4966</x:v>
      </x:c>
      <x:c r="Q14" s="34" t="n">
        <x:v>0.5034000000000001</x:v>
      </x:c>
      <x:c r="R14" s="34" t="n">
        <x:v>0.6535000000000001</x:v>
      </x:c>
      <x:c r="S14" s="34" t="n">
        <x:v>0.8882</x:v>
      </x:c>
      <x:c r="T14" s="34" t="n">
        <x:v>0.1118</x:v>
      </x:c>
      <x:c r="U14" s="31" t="n">
        <x:v>11000.4</x:v>
      </x:c>
      <x:c r="V14" s="31" t="n">
        <x:v>17649</x:v>
      </x:c>
      <x:c r="W14" s="31" t="n">
        <x:v>25788.6</x:v>
      </x:c>
      <x:c r="X14" s="31" t="n">
        <x:v>38238.5</x:v>
      </x:c>
      <x:c r="Y14" s="31" t="n">
        <x:v>52148.2</x:v>
      </x:c>
      <x:c r="Z14" s="31" t="n">
        <x:v>138731.2</x:v>
      </x:c>
      <x:c r="AA14" s="37" t="n">
        <x:v>4</x:v>
      </x:c>
      <x:c r="AB14" s="40" t="str">
        <x:v>https://wid.world/bulk_download/WID_data_ES.csv</x:v>
      </x:c>
    </x:row>
    <x:row r="15">
      <x:c r="A15" s="25" t="n">
        <x:v>2000</x:v>
      </x:c>
      <x:c r="B15" s="28" t="n">
        <x:v>0.5761041045188904</x:v>
      </x:c>
      <x:c r="C15" s="31" t="n">
        <x:v>29763.4</x:v>
      </x:c>
      <x:c r="D15" s="31" t="n">
        <x:v>4520.6</x:v>
      </x:c>
      <x:c r="E15" s="31" t="n">
        <x:v>9907.8</x:v>
      </x:c>
      <x:c r="F15" s="31" t="n">
        <x:v>14163.3</x:v>
      </x:c>
      <x:c r="G15" s="31" t="n">
        <x:v>18739.2</x:v>
      </x:c>
      <x:c r="H15" s="31" t="n">
        <x:v>73860.1</x:v>
      </x:c>
      <x:c r="I15" s="31" t="n">
        <x:v>21747.7</x:v>
      </x:c>
      <x:c r="J15" s="31" t="n">
        <x:v>45815.5</x:v>
      </x:c>
      <x:c r="K15" s="31" t="n">
        <x:v>26754.7</x:v>
      </x:c>
      <x:c r="L15" s="31" t="n">
        <x:v>327621.3</x:v>
      </x:c>
      <x:c r="M15" s="34" t="n">
        <x:v>0.0304</x:v>
      </x:c>
      <x:c r="N15" s="34" t="n">
        <x:v>0.1332</x:v>
      </x:c>
      <x:c r="O15" s="34" t="n">
        <x:v>0.2855</x:v>
      </x:c>
      <x:c r="P15" s="34" t="n">
        <x:v>0.5037</x:v>
      </x:c>
      <x:c r="Q15" s="34" t="n">
        <x:v>0.4963</x:v>
      </x:c>
      <x:c r="R15" s="34" t="n">
        <x:v>0.6576000000000001</x:v>
      </x:c>
      <x:c r="S15" s="34" t="n">
        <x:v>0.8899</x:v>
      </x:c>
      <x:c r="T15" s="34" t="n">
        <x:v>0.1101</x:v>
      </x:c>
      <x:c r="U15" s="31" t="n">
        <x:v>11853.9</x:v>
      </x:c>
      <x:c r="V15" s="31" t="n">
        <x:v>18624</x:v>
      </x:c>
      <x:c r="W15" s="31" t="n">
        <x:v>26768.1</x:v>
      </x:c>
      <x:c r="X15" s="31" t="n">
        <x:v>39827.3</x:v>
      </x:c>
      <x:c r="Y15" s="31" t="n">
        <x:v>53612.10000000001</x:v>
      </x:c>
      <x:c r="Z15" s="31" t="n">
        <x:v>142723.9</x:v>
      </x:c>
      <x:c r="AA15" s="37" t="n">
        <x:v>4</x:v>
      </x:c>
      <x:c r="AB15" s="40" t="str">
        <x:v>https://wid.world/bulk_download/WID_data_ES.csv</x:v>
      </x:c>
    </x:row>
    <x:row r="16">
      <x:c r="A16" s="25" t="n">
        <x:v>2001</x:v>
      </x:c>
      <x:c r="B16" s="28" t="n">
        <x:v>0.6000832319259644</x:v>
      </x:c>
      <x:c r="C16" s="31" t="n">
        <x:v>30390.1</x:v>
      </x:c>
      <x:c r="D16" s="31" t="n">
        <x:v>4607.400000000001</x:v>
      </x:c>
      <x:c r="E16" s="31" t="n">
        <x:v>10167</x:v>
      </x:c>
      <x:c r="F16" s="31" t="n">
        <x:v>14543.9</x:v>
      </x:c>
      <x:c r="G16" s="31" t="n">
        <x:v>19307.4</x:v>
      </x:c>
      <x:c r="H16" s="31" t="n">
        <x:v>74720.90000000001</x:v>
      </x:c>
      <x:c r="I16" s="31" t="n">
        <x:v>22390.7</x:v>
      </x:c>
      <x:c r="J16" s="31" t="n">
        <x:v>47057.5</x:v>
      </x:c>
      <x:c r="K16" s="31" t="n">
        <x:v>27448.2</x:v>
      </x:c>
      <x:c r="L16" s="31" t="n">
        <x:v>321637.4</x:v>
      </x:c>
      <x:c r="M16" s="34" t="n">
        <x:v>0.0303</x:v>
      </x:c>
      <x:c r="N16" s="34" t="n">
        <x:v>0.1338</x:v>
      </x:c>
      <x:c r="O16" s="34" t="n">
        <x:v>0.2871</x:v>
      </x:c>
      <x:c r="P16" s="34" t="n">
        <x:v>0.5083</x:v>
      </x:c>
      <x:c r="Q16" s="34" t="n">
        <x:v>0.4917</x:v>
      </x:c>
      <x:c r="R16" s="34" t="n">
        <x:v>0.6631</x:v>
      </x:c>
      <x:c r="S16" s="34" t="n">
        <x:v>0.8942</x:v>
      </x:c>
      <x:c r="T16" s="34" t="n">
        <x:v>0.1058</x:v>
      </x:c>
      <x:c r="U16" s="31" t="n">
        <x:v>12081.7</x:v>
      </x:c>
      <x:c r="V16" s="31" t="n">
        <x:v>19058.1</x:v>
      </x:c>
      <x:c r="W16" s="31" t="n">
        <x:v>27474.4</x:v>
      </x:c>
      <x:c r="X16" s="31" t="n">
        <x:v>40870.3</x:v>
      </x:c>
      <x:c r="Y16" s="31" t="n">
        <x:v>54987.2</x:v>
      </x:c>
      <x:c r="Z16" s="31" t="n">
        <x:v>142858.5</x:v>
      </x:c>
      <x:c r="AA16" s="37" t="n">
        <x:v>4</x:v>
      </x:c>
      <x:c r="AB16" s="40" t="str">
        <x:v>https://wid.world/bulk_download/WID_data_ES.csv</x:v>
      </x:c>
    </x:row>
    <x:row r="17">
      <x:c r="A17" s="25" t="n">
        <x:v>2002</x:v>
      </x:c>
      <x:c r="B17" s="28" t="n">
        <x:v>0.6246368288993835</x:v>
      </x:c>
      <x:c r="C17" s="31" t="n">
        <x:v>30727.4</x:v>
      </x:c>
      <x:c r="D17" s="31" t="n">
        <x:v>4734.900000000001</x:v>
      </x:c>
      <x:c r="E17" s="31" t="n">
        <x:v>10361.4</x:v>
      </x:c>
      <x:c r="F17" s="31" t="n">
        <x:v>14746.2</x:v>
      </x:c>
      <x:c r="G17" s="31" t="n">
        <x:v>19496.6</x:v>
      </x:c>
      <x:c r="H17" s="31" t="n">
        <x:v>75650.6</x:v>
      </x:c>
      <x:c r="I17" s="31" t="n">
        <x:v>22548.7</x:v>
      </x:c>
      <x:c r="J17" s="31" t="n">
        <x:v>46965.9</x:v>
      </x:c>
      <x:c r="K17" s="31" t="n">
        <x:v>27656.8</x:v>
      </x:c>
      <x:c r="L17" s="31" t="n">
        <x:v>334717.1</x:v>
      </x:c>
      <x:c r="M17" s="34" t="n">
        <x:v>0.0308</x:v>
      </x:c>
      <x:c r="N17" s="34" t="n">
        <x:v>0.1349</x:v>
      </x:c>
      <x:c r="O17" s="34" t="n">
        <x:v>0.2879</x:v>
      </x:c>
      <x:c r="P17" s="34" t="n">
        <x:v>0.5076</x:v>
      </x:c>
      <x:c r="Q17" s="34" t="n">
        <x:v>0.4924</x:v>
      </x:c>
      <x:c r="R17" s="34" t="n">
        <x:v>0.6604</x:v>
      </x:c>
      <x:c r="S17" s="34" t="n">
        <x:v>0.8911</x:v>
      </x:c>
      <x:c r="T17" s="34" t="n">
        <x:v>0.1089</x:v>
      </x:c>
      <x:c r="U17" s="31" t="n">
        <x:v>12416.1</x:v>
      </x:c>
      <x:c r="V17" s="31" t="n">
        <x:v>19503.7</x:v>
      </x:c>
      <x:c r="W17" s="31" t="n">
        <x:v>27907.7</x:v>
      </x:c>
      <x:c r="X17" s="31" t="n">
        <x:v>41021.8</x:v>
      </x:c>
      <x:c r="Y17" s="31" t="n">
        <x:v>54910.60000000001</x:v>
      </x:c>
      <x:c r="Z17" s="31" t="n">
        <x:v>146449.1</x:v>
      </x:c>
      <x:c r="AA17" s="37" t="n">
        <x:v>4</x:v>
      </x:c>
      <x:c r="AB17" s="40" t="str">
        <x:v>https://wid.world/bulk_download/WID_data_ES.csv</x:v>
      </x:c>
    </x:row>
    <x:row r="18">
      <x:c r="A18" s="25" t="n">
        <x:v>2003</x:v>
      </x:c>
      <x:c r="B18" s="28" t="n">
        <x:v>0.6496471762657166</x:v>
      </x:c>
      <x:c r="C18" s="31" t="n">
        <x:v>31062.5</x:v>
      </x:c>
      <x:c r="D18" s="31" t="n">
        <x:v>4802.3</x:v>
      </x:c>
      <x:c r="E18" s="31" t="n">
        <x:v>10401.9</x:v>
      </x:c>
      <x:c r="F18" s="31" t="n">
        <x:v>14826.9</x:v>
      </x:c>
      <x:c r="G18" s="31" t="n">
        <x:v>19612.3</x:v>
      </x:c>
      <x:c r="H18" s="31" t="n">
        <x:v>76863.40000000001</x:v>
      </x:c>
      <x:c r="I18" s="31" t="n">
        <x:v>22710.7</x:v>
      </x:c>
      <x:c r="J18" s="31" t="n">
        <x:v>47497.9</x:v>
      </x:c>
      <x:c r="K18" s="31" t="n">
        <x:v>27892.1</x:v>
      </x:c>
      <x:c r="L18" s="31" t="n">
        <x:v>344930.6</x:v>
      </x:c>
      <x:c r="M18" s="34" t="n">
        <x:v>0.0309</x:v>
      </x:c>
      <x:c r="N18" s="34" t="n">
        <x:v>0.1339</x:v>
      </x:c>
      <x:c r="O18" s="34" t="n">
        <x:v>0.2864</x:v>
      </x:c>
      <x:c r="P18" s="34" t="n">
        <x:v>0.5051</x:v>
      </x:c>
      <x:c r="Q18" s="34" t="n">
        <x:v>0.4949</x:v>
      </x:c>
      <x:c r="R18" s="34" t="n">
        <x:v>0.658</x:v>
      </x:c>
      <x:c r="S18" s="34" t="n">
        <x:v>0.889</x:v>
      </x:c>
      <x:c r="T18" s="34" t="n">
        <x:v>0.111</x:v>
      </x:c>
      <x:c r="U18" s="31" t="n">
        <x:v>12592.7</x:v>
      </x:c>
      <x:c r="V18" s="31" t="n">
        <x:v>19729.6</x:v>
      </x:c>
      <x:c r="W18" s="31" t="n">
        <x:v>28068.4</x:v>
      </x:c>
      <x:c r="X18" s="31" t="n">
        <x:v>40967</x:v>
      </x:c>
      <x:c r="Y18" s="31" t="n">
        <x:v>55671.10000000001</x:v>
      </x:c>
      <x:c r="Z18" s="31" t="n">
        <x:v>148449.8</x:v>
      </x:c>
      <x:c r="AA18" s="37" t="n">
        <x:v>4</x:v>
      </x:c>
      <x:c r="AB18" s="40" t="str">
        <x:v>https://wid.world/bulk_download/WID_data_ES.csv</x:v>
      </x:c>
    </x:row>
    <x:row r="19">
      <x:c r="A19" s="25" t="n">
        <x:v>2004</x:v>
      </x:c>
      <x:c r="B19" s="28" t="n">
        <x:v>0.6750592589378357</x:v>
      </x:c>
      <x:c r="C19" s="31" t="n">
        <x:v>31197</x:v>
      </x:c>
      <x:c r="D19" s="31" t="n">
        <x:v>4856.2</x:v>
      </x:c>
      <x:c r="E19" s="31" t="n">
        <x:v>10506.6</x:v>
      </x:c>
      <x:c r="F19" s="31" t="n">
        <x:v>14964.2</x:v>
      </x:c>
      <x:c r="G19" s="31" t="n">
        <x:v>19785.5</x:v>
      </x:c>
      <x:c r="H19" s="31" t="n">
        <x:v>76843</x:v>
      </x:c>
      <x:c r="I19" s="31" t="n">
        <x:v>22867.3</x:v>
      </x:c>
      <x:c r="J19" s="31" t="n">
        <x:v>47521.7</x:v>
      </x:c>
      <x:c r="K19" s="31" t="n">
        <x:v>28051.3</x:v>
      </x:c>
      <x:c r="L19" s="31" t="n">
        <x:v>342621</x:v>
      </x:c>
      <x:c r="M19" s="34" t="n">
        <x:v>0.0311</x:v>
      </x:c>
      <x:c r="N19" s="34" t="n">
        <x:v>0.1347</x:v>
      </x:c>
      <x:c r="O19" s="34" t="n">
        <x:v>0.2878</x:v>
      </x:c>
      <x:c r="P19" s="34" t="n">
        <x:v>0.5074000000000001</x:v>
      </x:c>
      <x:c r="Q19" s="34" t="n">
        <x:v>0.4926</x:v>
      </x:c>
      <x:c r="R19" s="34" t="n">
        <x:v>0.6597000000000001</x:v>
      </x:c>
      <x:c r="S19" s="34" t="n">
        <x:v>0.8902</x:v>
      </x:c>
      <x:c r="T19" s="34" t="n">
        <x:v>0.1098</x:v>
      </x:c>
      <x:c r="U19" s="31" t="n">
        <x:v>12734</x:v>
      </x:c>
      <x:c r="V19" s="31" t="n">
        <x:v>19774.1</x:v>
      </x:c>
      <x:c r="W19" s="31" t="n">
        <x:v>28243.9</x:v>
      </x:c>
      <x:c r="X19" s="31" t="n">
        <x:v>41458.2</x:v>
      </x:c>
      <x:c r="Y19" s="31" t="n">
        <x:v>55703.10000000001</x:v>
      </x:c>
      <x:c r="Z19" s="31" t="n">
        <x:v>148725.4</x:v>
      </x:c>
      <x:c r="AA19" s="37" t="n">
        <x:v>4</x:v>
      </x:c>
      <x:c r="AB19" s="40" t="str">
        <x:v>https://wid.world/bulk_download/WID_data_ES.csv</x:v>
      </x:c>
    </x:row>
    <x:row r="20">
      <x:c r="A20" s="25" t="n">
        <x:v>2005</x:v>
      </x:c>
      <x:c r="B20" s="28" t="n">
        <x:v>0.7034989595413208</x:v>
      </x:c>
      <x:c r="C20" s="31" t="n">
        <x:v>31578.7</x:v>
      </x:c>
      <x:c r="D20" s="31" t="n">
        <x:v>4888.2</x:v>
      </x:c>
      <x:c r="E20" s="31" t="n">
        <x:v>10735.5</x:v>
      </x:c>
      <x:c r="F20" s="31" t="n">
        <x:v>15252.4</x:v>
      </x:c>
      <x:c r="G20" s="31" t="n">
        <x:v>20113.1</x:v>
      </x:c>
      <x:c r="H20" s="31" t="n">
        <x:v>77440.90000000001</x:v>
      </x:c>
      <x:c r="I20" s="31" t="n">
        <x:v>23258.9</x:v>
      </x:c>
      <x:c r="J20" s="31" t="n">
        <x:v>48425.3</x:v>
      </x:c>
      <x:c r="K20" s="31" t="n">
        <x:v>28447.2</x:v>
      </x:c>
      <x:c r="L20" s="31" t="n">
        <x:v>341599.6</x:v>
      </x:c>
      <x:c r="M20" s="34" t="n">
        <x:v>0.031</x:v>
      </x:c>
      <x:c r="N20" s="34" t="n">
        <x:v>0.136</x:v>
      </x:c>
      <x:c r="O20" s="34" t="n">
        <x:v>0.2898</x:v>
      </x:c>
      <x:c r="P20" s="34" t="n">
        <x:v>0.5095000000000001</x:v>
      </x:c>
      <x:c r="Q20" s="34" t="n">
        <x:v>0.4905</x:v>
      </x:c>
      <x:c r="R20" s="34" t="n">
        <x:v>0.6629</x:v>
      </x:c>
      <x:c r="S20" s="34" t="n">
        <x:v>0.8918</x:v>
      </x:c>
      <x:c r="T20" s="34" t="n">
        <x:v>0.1082</x:v>
      </x:c>
      <x:c r="U20" s="31" t="n">
        <x:v>12818</x:v>
      </x:c>
      <x:c r="V20" s="31" t="n">
        <x:v>20187.6</x:v>
      </x:c>
      <x:c r="W20" s="31" t="n">
        <x:v>28968.1</x:v>
      </x:c>
      <x:c r="X20" s="31" t="n">
        <x:v>42237.60000000001</x:v>
      </x:c>
      <x:c r="Y20" s="31" t="n">
        <x:v>56141.5</x:v>
      </x:c>
      <x:c r="Z20" s="31" t="n">
        <x:v>148893.6</x:v>
      </x:c>
      <x:c r="AA20" s="37" t="n">
        <x:v>4</x:v>
      </x:c>
      <x:c r="AB20" s="40" t="str">
        <x:v>https://wid.world/bulk_download/WID_data_ES.csv</x:v>
      </x:c>
    </x:row>
    <x:row r="21">
      <x:c r="A21" s="25" t="n">
        <x:v>2006</x:v>
      </x:c>
      <x:c r="B21" s="28" t="n">
        <x:v>0.7321488857269287</x:v>
      </x:c>
      <x:c r="C21" s="31" t="n">
        <x:v>32079</x:v>
      </x:c>
      <x:c r="D21" s="31" t="n">
        <x:v>4999.700000000001</x:v>
      </x:c>
      <x:c r="E21" s="31" t="n">
        <x:v>10919.1</x:v>
      </x:c>
      <x:c r="F21" s="31" t="n">
        <x:v>15395.8</x:v>
      </x:c>
      <x:c r="G21" s="31" t="n">
        <x:v>20167.6</x:v>
      </x:c>
      <x:c r="H21" s="31" t="n">
        <x:v>79724.3</x:v>
      </x:c>
      <x:c r="I21" s="31" t="n">
        <x:v>23282.8</x:v>
      </x:c>
      <x:c r="J21" s="31" t="n">
        <x:v>48204.60000000001</x:v>
      </x:c>
      <x:c r="K21" s="31" t="n">
        <x:v>28740.3</x:v>
      </x:c>
      <x:c r="L21" s="31" t="n">
        <x:v>362608.4</x:v>
      </x:c>
      <x:c r="M21" s="34" t="n">
        <x:v>0.0312</x:v>
      </x:c>
      <x:c r="N21" s="34" t="n">
        <x:v>0.1362</x:v>
      </x:c>
      <x:c r="O21" s="34" t="n">
        <x:v>0.288</x:v>
      </x:c>
      <x:c r="P21" s="34" t="n">
        <x:v>0.5029</x:v>
      </x:c>
      <x:c r="Q21" s="34" t="n">
        <x:v>0.4971</x:v>
      </x:c>
      <x:c r="R21" s="34" t="n">
        <x:v>0.6532</x:v>
      </x:c>
      <x:c r="S21" s="34" t="n">
        <x:v>0.887</x:v>
      </x:c>
      <x:c r="T21" s="34" t="n">
        <x:v>0.113</x:v>
      </x:c>
      <x:c r="U21" s="31" t="n">
        <x:v>13110.4</x:v>
      </x:c>
      <x:c r="V21" s="31" t="n">
        <x:v>20309.8</x:v>
      </x:c>
      <x:c r="W21" s="31" t="n">
        <x:v>28496.4</x:v>
      </x:c>
      <x:c r="X21" s="31" t="n">
        <x:v>41925.4</x:v>
      </x:c>
      <x:c r="Y21" s="31" t="n">
        <x:v>56881.2</x:v>
      </x:c>
      <x:c r="Z21" s="31" t="n">
        <x:v>157758</x:v>
      </x:c>
      <x:c r="AA21" s="37" t="n">
        <x:v>4</x:v>
      </x:c>
      <x:c r="AB21" s="40" t="str">
        <x:v>https://wid.world/bulk_download/WID_data_ES.csv</x:v>
      </x:c>
    </x:row>
    <x:row r="22">
      <x:c r="A22" s="25" t="n">
        <x:v>2007</x:v>
      </x:c>
      <x:c r="B22" s="28" t="n">
        <x:v>0.7582222819328308</x:v>
      </x:c>
      <x:c r="C22" s="31" t="n">
        <x:v>32329.9</x:v>
      </x:c>
      <x:c r="D22" s="31" t="n">
        <x:v>5081</x:v>
      </x:c>
      <x:c r="E22" s="31" t="n">
        <x:v>10962</x:v>
      </x:c>
      <x:c r="F22" s="31" t="n">
        <x:v>15456.7</x:v>
      </x:c>
      <x:c r="G22" s="31" t="n">
        <x:v>20337.1</x:v>
      </x:c>
      <x:c r="H22" s="31" t="n">
        <x:v>80301.3</x:v>
      </x:c>
      <x:c r="I22" s="31" t="n">
        <x:v>23502.3</x:v>
      </x:c>
      <x:c r="J22" s="31" t="n">
        <x:v>48824.2</x:v>
      </x:c>
      <x:c r="K22" s="31" t="n">
        <x:v>28957.5</x:v>
      </x:c>
      <x:c r="L22" s="31" t="n">
        <x:v>366198.4</x:v>
      </x:c>
      <x:c r="M22" s="34" t="n">
        <x:v>0.0314</x:v>
      </x:c>
      <x:c r="N22" s="34" t="n">
        <x:v>0.1356</x:v>
      </x:c>
      <x:c r="O22" s="34" t="n">
        <x:v>0.2869</x:v>
      </x:c>
      <x:c r="P22" s="34" t="n">
        <x:v>0.5032</x:v>
      </x:c>
      <x:c r="Q22" s="34" t="n">
        <x:v>0.4968</x:v>
      </x:c>
      <x:c r="R22" s="34" t="n">
        <x:v>0.6543</x:v>
      </x:c>
      <x:c r="S22" s="34" t="n">
        <x:v>0.8867</x:v>
      </x:c>
      <x:c r="T22" s="34" t="n">
        <x:v>0.1133</x:v>
      </x:c>
      <x:c r="U22" s="31" t="n">
        <x:v>13323.4</x:v>
      </x:c>
      <x:c r="V22" s="31" t="n">
        <x:v>20455</x:v>
      </x:c>
      <x:c r="W22" s="31" t="n">
        <x:v>28886</x:v>
      </x:c>
      <x:c r="X22" s="31" t="n">
        <x:v>42754.7</x:v>
      </x:c>
      <x:c r="Y22" s="31" t="n">
        <x:v>57569.9</x:v>
      </x:c>
      <x:c r="Z22" s="31" t="n">
        <x:v>157365.4</x:v>
      </x:c>
      <x:c r="AA22" s="37" t="n">
        <x:v>4</x:v>
      </x:c>
      <x:c r="AB22" s="40" t="str">
        <x:v>https://wid.world/bulk_download/WID_data_ES.csv</x:v>
      </x:c>
    </x:row>
    <x:row r="23">
      <x:c r="A23" s="25" t="n">
        <x:v>2008</x:v>
      </x:c>
      <x:c r="B23" s="28" t="n">
        <x:v>0.7768142819404602</x:v>
      </x:c>
      <x:c r="C23" s="31" t="n">
        <x:v>31672.4</x:v>
      </x:c>
      <x:c r="D23" s="31" t="n">
        <x:v>4905.5</x:v>
      </x:c>
      <x:c r="E23" s="31" t="n">
        <x:v>10647</x:v>
      </x:c>
      <x:c r="F23" s="31" t="n">
        <x:v>15062.7</x:v>
      </x:c>
      <x:c r="G23" s="31" t="n">
        <x:v>19850.9</x:v>
      </x:c>
      <x:c r="H23" s="31" t="n">
        <x:v>78958.40000000001</x:v>
      </x:c>
      <x:c r="I23" s="31" t="n">
        <x:v>22946.3</x:v>
      </x:c>
      <x:c r="J23" s="31" t="n">
        <x:v>47709.5</x:v>
      </x:c>
      <x:c r="K23" s="31" t="n">
        <x:v>28271.3</x:v>
      </x:c>
      <x:c r="L23" s="31" t="n">
        <x:v>368378.8</x:v>
      </x:c>
      <x:c r="M23" s="34" t="n">
        <x:v>0.031</x:v>
      </x:c>
      <x:c r="N23" s="34" t="n">
        <x:v>0.1345</x:v>
      </x:c>
      <x:c r="O23" s="34" t="n">
        <x:v>0.2853</x:v>
      </x:c>
      <x:c r="P23" s="34" t="n">
        <x:v>0.5014000000000001</x:v>
      </x:c>
      <x:c r="Q23" s="34" t="n">
        <x:v>0.4986</x:v>
      </x:c>
      <x:c r="R23" s="34" t="n">
        <x:v>0.652</x:v>
      </x:c>
      <x:c r="S23" s="34" t="n">
        <x:v>0.8837</x:v>
      </x:c>
      <x:c r="T23" s="34" t="n">
        <x:v>0.1163</x:v>
      </x:c>
      <x:c r="U23" s="31" t="n">
        <x:v>12863.3</x:v>
      </x:c>
      <x:c r="V23" s="31" t="n">
        <x:v>19940.6</x:v>
      </x:c>
      <x:c r="W23" s="31" t="n">
        <x:v>28248</x:v>
      </x:c>
      <x:c r="X23" s="31" t="n">
        <x:v>41536.10000000001</x:v>
      </x:c>
      <x:c r="Y23" s="31" t="n">
        <x:v>56377.10000000001</x:v>
      </x:c>
      <x:c r="Z23" s="31" t="n">
        <x:v>153772.4</x:v>
      </x:c>
      <x:c r="AA23" s="37" t="n">
        <x:v>4</x:v>
      </x:c>
      <x:c r="AB23" s="40" t="str">
        <x:v>https://wid.world/bulk_download/WID_data_ES.csv</x:v>
      </x:c>
    </x:row>
    <x:row r="24">
      <x:c r="A24" s="25" t="n">
        <x:v>2009</x:v>
      </x:c>
      <x:c r="B24" s="28" t="n">
        <x:v>0.7786106467247009</x:v>
      </x:c>
      <x:c r="C24" s="31" t="n">
        <x:v>30046</x:v>
      </x:c>
      <x:c r="D24" s="31" t="n">
        <x:v>4626.7</x:v>
      </x:c>
      <x:c r="E24" s="31" t="n">
        <x:v>9893.4</x:v>
      </x:c>
      <x:c r="F24" s="31" t="n">
        <x:v>14032.2</x:v>
      </x:c>
      <x:c r="G24" s="31" t="n">
        <x:v>18483.4</x:v>
      </x:c>
      <x:c r="H24" s="31" t="n">
        <x:v>76296.5</x:v>
      </x:c>
      <x:c r="I24" s="31" t="n">
        <x:v>21407.6</x:v>
      </x:c>
      <x:c r="J24" s="31" t="n">
        <x:v>44801.5</x:v>
      </x:c>
      <x:c r="K24" s="31" t="n">
        <x:v>26518.7</x:v>
      </x:c>
      <x:c r="L24" s="31" t="n">
        <x:v>379253.6</x:v>
      </x:c>
      <x:c r="M24" s="34" t="n">
        <x:v>0.0308</x:v>
      </x:c>
      <x:c r="N24" s="34" t="n">
        <x:v>0.1317</x:v>
      </x:c>
      <x:c r="O24" s="34" t="n">
        <x:v>0.2802</x:v>
      </x:c>
      <x:c r="P24" s="34" t="n">
        <x:v>0.4921</x:v>
      </x:c>
      <x:c r="Q24" s="34" t="n">
        <x:v>0.5079</x:v>
      </x:c>
      <x:c r="R24" s="34" t="n">
        <x:v>0.6412</x:v>
      </x:c>
      <x:c r="S24" s="34" t="n">
        <x:v>0.8738</x:v>
      </x:c>
      <x:c r="T24" s="34" t="n">
        <x:v>0.1262</x:v>
      </x:c>
      <x:c r="U24" s="31" t="n">
        <x:v>12132.1</x:v>
      </x:c>
      <x:c r="V24" s="31" t="n">
        <x:v>18475</x:v>
      </x:c>
      <x:c r="W24" s="31" t="n">
        <x:v>26328</x:v>
      </x:c>
      <x:c r="X24" s="31" t="n">
        <x:v>38844.4</x:v>
      </x:c>
      <x:c r="Y24" s="31" t="n">
        <x:v>52792.5</x:v>
      </x:c>
      <x:c r="Z24" s="31" t="n">
        <x:v>150153.8</x:v>
      </x:c>
      <x:c r="AA24" s="37" t="n">
        <x:v>4</x:v>
      </x:c>
      <x:c r="AB24" s="40" t="str">
        <x:v>https://wid.world/bulk_download/WID_data_ES.csv</x:v>
      </x:c>
    </x:row>
    <x:row r="25">
      <x:c r="A25" s="25" t="n">
        <x:v>2010</x:v>
      </x:c>
      <x:c r="B25" s="28" t="n">
        <x:v>0.7808910012245178</x:v>
      </x:c>
      <x:c r="C25" s="31" t="n">
        <x:v>30145.7</x:v>
      </x:c>
      <x:c r="D25" s="31" t="n">
        <x:v>4702.8</x:v>
      </x:c>
      <x:c r="E25" s="31" t="n">
        <x:v>10285.3</x:v>
      </x:c>
      <x:c r="F25" s="31" t="n">
        <x:v>14527.7</x:v>
      </x:c>
      <x:c r="G25" s="31" t="n">
        <x:v>19067.8</x:v>
      </x:c>
      <x:c r="H25" s="31" t="n">
        <x:v>74457.1</x:v>
      </x:c>
      <x:c r="I25" s="31" t="n">
        <x:v>21994.7</x:v>
      </x:c>
      <x:c r="J25" s="31" t="n">
        <x:v>45410</x:v>
      </x:c>
      <x:c r="K25" s="31" t="n">
        <x:v>26937</x:v>
      </x:c>
      <x:c r="L25" s="31" t="n">
        <x:v>347810.1</x:v>
      </x:c>
      <x:c r="M25" s="34" t="n">
        <x:v>0.0312</x:v>
      </x:c>
      <x:c r="N25" s="34" t="n">
        <x:v>0.1365</x:v>
      </x:c>
      <x:c r="O25" s="34" t="n">
        <x:v>0.2892</x:v>
      </x:c>
      <x:c r="P25" s="34" t="n">
        <x:v>0.506</x:v>
      </x:c>
      <x:c r="Q25" s="34" t="n">
        <x:v>0.4940000000000001</x:v>
      </x:c>
      <x:c r="R25" s="34" t="n">
        <x:v>0.6567000000000001</x:v>
      </x:c>
      <x:c r="S25" s="34" t="n">
        <x:v>0.8846</x:v>
      </x:c>
      <x:c r="T25" s="34" t="n">
        <x:v>0.1154</x:v>
      </x:c>
      <x:c r="U25" s="31" t="n">
        <x:v>12331.7</x:v>
      </x:c>
      <x:c r="V25" s="31" t="n">
        <x:v>19135.1</x:v>
      </x:c>
      <x:c r="W25" s="31" t="n">
        <x:v>27303.8</x:v>
      </x:c>
      <x:c r="X25" s="31" t="n">
        <x:v>39670.5</x:v>
      </x:c>
      <x:c r="Y25" s="31" t="n">
        <x:v>53200</x:v>
      </x:c>
      <x:c r="Z25" s="31" t="n">
        <x:v>143356</x:v>
      </x:c>
      <x:c r="AA25" s="37" t="n">
        <x:v>4</x:v>
      </x:c>
      <x:c r="AB25" s="40" t="str">
        <x:v>https://wid.world/bulk_download/WID_data_ES.csv</x:v>
      </x:c>
    </x:row>
    <x:row r="26">
      <x:c r="A26" s="25" t="n">
        <x:v>2011</x:v>
      </x:c>
      <x:c r="B26" s="28" t="n">
        <x:v>0.7797509431838989</x:v>
      </x:c>
      <x:c r="C26" s="31" t="n">
        <x:v>29878.9</x:v>
      </x:c>
      <x:c r="D26" s="31" t="n">
        <x:v>4595.6</x:v>
      </x:c>
      <x:c r="E26" s="31" t="n">
        <x:v>10191.1</x:v>
      </x:c>
      <x:c r="F26" s="31" t="n">
        <x:v>14447.9</x:v>
      </x:c>
      <x:c r="G26" s="31" t="n">
        <x:v>19008.8</x:v>
      </x:c>
      <x:c r="H26" s="31" t="n">
        <x:v>73359</x:v>
      </x:c>
      <x:c r="I26" s="31" t="n">
        <x:v>21889.9</x:v>
      </x:c>
      <x:c r="J26" s="31" t="n">
        <x:v>44938.2</x:v>
      </x:c>
      <x:c r="K26" s="31" t="n">
        <x:v>26753.8</x:v>
      </x:c>
      <x:c r="L26" s="31" t="n">
        <x:v>339265.5</x:v>
      </x:c>
      <x:c r="M26" s="34" t="n">
        <x:v>0.0308</x:v>
      </x:c>
      <x:c r="N26" s="34" t="n">
        <x:v>0.1364</x:v>
      </x:c>
      <x:c r="O26" s="34" t="n">
        <x:v>0.2901</x:v>
      </x:c>
      <x:c r="P26" s="34" t="n">
        <x:v>0.509</x:v>
      </x:c>
      <x:c r="Q26" s="34" t="n">
        <x:v>0.491</x:v>
      </x:c>
      <x:c r="R26" s="34" t="n">
        <x:v>0.6594</x:v>
      </x:c>
      <x:c r="S26" s="34" t="n">
        <x:v>0.8865000000000001</x:v>
      </x:c>
      <x:c r="T26" s="34" t="n">
        <x:v>0.1135</x:v>
      </x:c>
      <x:c r="U26" s="31" t="n">
        <x:v>12050.6</x:v>
      </x:c>
      <x:c r="V26" s="31" t="n">
        <x:v>19097.6</x:v>
      </x:c>
      <x:c r="W26" s="31" t="n">
        <x:v>27152.1</x:v>
      </x:c>
      <x:c r="X26" s="31" t="n">
        <x:v>39543.4</x:v>
      </x:c>
      <x:c r="Y26" s="31" t="n">
        <x:v>52363.7</x:v>
      </x:c>
      <x:c r="Z26" s="31" t="n">
        <x:v>141475.4</x:v>
      </x:c>
      <x:c r="AA26" s="37" t="n">
        <x:v>4</x:v>
      </x:c>
      <x:c r="AB26" s="40" t="str">
        <x:v>https://wid.world/bulk_download/WID_data_ES.csv</x:v>
      </x:c>
    </x:row>
    <x:row r="27">
      <x:c r="A27" s="25" t="n">
        <x:v>2012</x:v>
      </x:c>
      <x:c r="B27" s="28" t="n">
        <x:v>0.7781686186790466</x:v>
      </x:c>
      <x:c r="C27" s="31" t="n">
        <x:v>29104.6</x:v>
      </x:c>
      <x:c r="D27" s="31" t="n">
        <x:v>4518.400000000001</x:v>
      </x:c>
      <x:c r="E27" s="31" t="n">
        <x:v>10049.3</x:v>
      </x:c>
      <x:c r="F27" s="31" t="n">
        <x:v>14202</x:v>
      </x:c>
      <x:c r="G27" s="31" t="n">
        <x:v>18512.5</x:v>
      </x:c>
      <x:c r="H27" s="31" t="n">
        <x:v>71473</x:v>
      </x:c>
      <x:c r="I27" s="31" t="n">
        <x:v>21137</x:v>
      </x:c>
      <x:c r="J27" s="31" t="n">
        <x:v>42132.9</x:v>
      </x:c>
      <x:c r="K27" s="31" t="n">
        <x:v>25831.2</x:v>
      </x:c>
      <x:c r="L27" s="31" t="n">
        <x:v>353168.7</x:v>
      </x:c>
      <x:c r="M27" s="34" t="n">
        <x:v>0.031</x:v>
      </x:c>
      <x:c r="N27" s="34" t="n">
        <x:v>0.1381</x:v>
      </x:c>
      <x:c r="O27" s="34" t="n">
        <x:v>0.2928</x:v>
      </x:c>
      <x:c r="P27" s="34" t="n">
        <x:v>0.5089</x:v>
      </x:c>
      <x:c r="Q27" s="34" t="n">
        <x:v>0.4911</x:v>
      </x:c>
      <x:c r="R27" s="34" t="n">
        <x:v>0.6536000000000001</x:v>
      </x:c>
      <x:c r="S27" s="34" t="n">
        <x:v>0.8787</x:v>
      </x:c>
      <x:c r="T27" s="34" t="n">
        <x:v>0.1213</x:v>
      </x:c>
      <x:c r="U27" s="31" t="n">
        <x:v>11848.2</x:v>
      </x:c>
      <x:c r="V27" s="31" t="n">
        <x:v>18795.3</x:v>
      </x:c>
      <x:c r="W27" s="31" t="n">
        <x:v>26505.9</x:v>
      </x:c>
      <x:c r="X27" s="31" t="n">
        <x:v>37373.7</x:v>
      </x:c>
      <x:c r="Y27" s="31" t="n">
        <x:v>49095.2</x:v>
      </x:c>
      <x:c r="Z27" s="31" t="n">
        <x:v>141683.9</x:v>
      </x:c>
      <x:c r="AA27" s="37" t="n">
        <x:v>4</x:v>
      </x:c>
      <x:c r="AB27" s="40" t="str">
        <x:v>https://wid.world/bulk_download/WID_data_ES.csv</x:v>
      </x:c>
    </x:row>
    <x:row r="28">
      <x:c r="A28" s="25" t="n">
        <x:v>2013</x:v>
      </x:c>
      <x:c r="B28" s="28" t="n">
        <x:v>0.7815783023834229</x:v>
      </x:c>
      <x:c r="C28" s="31" t="n">
        <x:v>28922</x:v>
      </x:c>
      <x:c r="D28" s="31" t="n">
        <x:v>4368.400000000001</x:v>
      </x:c>
      <x:c r="E28" s="31" t="n">
        <x:v>9823.6</x:v>
      </x:c>
      <x:c r="F28" s="31" t="n">
        <x:v>13976.9</x:v>
      </x:c>
      <x:c r="G28" s="31" t="n">
        <x:v>18316.6</x:v>
      </x:c>
      <x:c r="H28" s="31" t="n">
        <x:v>71343.6</x:v>
      </x:c>
      <x:c r="I28" s="31" t="n">
        <x:v>20988.5</x:v>
      </x:c>
      <x:c r="J28" s="31" t="n">
        <x:v>42363.2</x:v>
      </x:c>
      <x:c r="K28" s="31" t="n">
        <x:v>25696.3</x:v>
      </x:c>
      <x:c r="L28" s="31" t="n">
        <x:v>348264.4</x:v>
      </x:c>
      <x:c r="M28" s="34" t="n">
        <x:v>0.0302</x:v>
      </x:c>
      <x:c r="N28" s="34" t="n">
        <x:v>0.1359</x:v>
      </x:c>
      <x:c r="O28" s="34" t="n">
        <x:v>0.29</x:v>
      </x:c>
      <x:c r="P28" s="34" t="n">
        <x:v>0.5066</x:v>
      </x:c>
      <x:c r="Q28" s="34" t="n">
        <x:v>0.4934</x:v>
      </x:c>
      <x:c r="R28" s="34" t="n">
        <x:v>0.6531</x:v>
      </x:c>
      <x:c r="S28" s="34" t="n">
        <x:v>0.8796</x:v>
      </x:c>
      <x:c r="T28" s="34" t="n">
        <x:v>0.1204</x:v>
      </x:c>
      <x:c r="U28" s="31" t="n">
        <x:v>11454.9</x:v>
      </x:c>
      <x:c r="V28" s="31" t="n">
        <x:v>18604</x:v>
      </x:c>
      <x:c r="W28" s="31" t="n">
        <x:v>26284.9</x:v>
      </x:c>
      <x:c r="X28" s="31" t="n">
        <x:v>37605</x:v>
      </x:c>
      <x:c r="Y28" s="31" t="n">
        <x:v>49162.10000000001</x:v>
      </x:c>
      <x:c r="Z28" s="31" t="n">
        <x:v>141066.5</x:v>
      </x:c>
      <x:c r="AA28" s="37" t="n">
        <x:v>3</x:v>
      </x:c>
      <x:c r="AB28" s="40" t="str">
        <x:v>https://wid.world/bulk_download/WID_data_ES.csv</x:v>
      </x:c>
    </x:row>
    <x:row r="29">
      <x:c r="A29" s="25" t="n">
        <x:v>2014</x:v>
      </x:c>
      <x:c r="B29" s="28" t="n">
        <x:v>0.7798535823822021</x:v>
      </x:c>
      <x:c r="C29" s="31" t="n">
        <x:v>29514.2</x:v>
      </x:c>
      <x:c r="D29" s="31" t="n">
        <x:v>4423.2</x:v>
      </x:c>
      <x:c r="E29" s="31" t="n">
        <x:v>9975.6</x:v>
      </x:c>
      <x:c r="F29" s="31" t="n">
        <x:v>14194.5</x:v>
      </x:c>
      <x:c r="G29" s="31" t="n">
        <x:v>18614.5</x:v>
      </x:c>
      <x:c r="H29" s="31" t="n">
        <x:v>73113.3</x:v>
      </x:c>
      <x:c r="I29" s="31" t="n">
        <x:v>21356.7</x:v>
      </x:c>
      <x:c r="J29" s="31" t="n">
        <x:v>43294.7</x:v>
      </x:c>
      <x:c r="K29" s="31" t="n">
        <x:v>26191.9</x:v>
      </x:c>
      <x:c r="L29" s="31" t="n">
        <x:v>358421.1</x:v>
      </x:c>
      <x:c r="M29" s="34" t="n">
        <x:v>0.03</x:v>
      </x:c>
      <x:c r="N29" s="34" t="n">
        <x:v>0.1352</x:v>
      </x:c>
      <x:c r="O29" s="34" t="n">
        <x:v>0.2886</x:v>
      </x:c>
      <x:c r="P29" s="34" t="n">
        <x:v>0.5046</x:v>
      </x:c>
      <x:c r="Q29" s="34" t="n">
        <x:v>0.4954</x:v>
      </x:c>
      <x:c r="R29" s="34" t="n">
        <x:v>0.6512</x:v>
      </x:c>
      <x:c r="S29" s="34" t="n">
        <x:v>0.8786</x:v>
      </x:c>
      <x:c r="T29" s="34" t="n">
        <x:v>0.1214</x:v>
      </x:c>
      <x:c r="U29" s="31" t="n">
        <x:v>11598.6</x:v>
      </x:c>
      <x:c r="V29" s="31" t="n">
        <x:v>18985.6</x:v>
      </x:c>
      <x:c r="W29" s="31" t="n">
        <x:v>26617.3</x:v>
      </x:c>
      <x:c r="X29" s="31" t="n">
        <x:v>38391.9</x:v>
      </x:c>
      <x:c r="Y29" s="31" t="n">
        <x:v>50165.3</x:v>
      </x:c>
      <x:c r="Z29" s="31" t="n">
        <x:v>145259.5</x:v>
      </x:c>
      <x:c r="AA29" s="37" t="n">
        <x:v>3</x:v>
      </x:c>
      <x:c r="AB29" s="40" t="str">
        <x:v>https://wid.world/bulk_download/WID_data_ES.csv</x:v>
      </x:c>
    </x:row>
    <x:row r="30">
      <x:c r="A30" s="25" t="n">
        <x:v>2015</x:v>
      </x:c>
      <x:c r="B30" s="28" t="n">
        <x:v>0.7841615676879883</x:v>
      </x:c>
      <x:c r="C30" s="31" t="n">
        <x:v>31016.8</x:v>
      </x:c>
      <x:c r="D30" s="31" t="n">
        <x:v>4620.900000000001</x:v>
      </x:c>
      <x:c r="E30" s="31" t="n">
        <x:v>10383.8</x:v>
      </x:c>
      <x:c r="F30" s="31" t="n">
        <x:v>14808.2</x:v>
      </x:c>
      <x:c r="G30" s="31" t="n">
        <x:v>19413.2</x:v>
      </x:c>
      <x:c r="H30" s="31" t="n">
        <x:v>77431.1</x:v>
      </x:c>
      <x:c r="I30" s="31" t="n">
        <x:v>22289.5</x:v>
      </x:c>
      <x:c r="J30" s="31" t="n">
        <x:v>45299.9</x:v>
      </x:c>
      <x:c r="K30" s="31" t="n">
        <x:v>27370</x:v>
      </x:c>
      <x:c r="L30" s="31" t="n">
        <x:v>392049.7</x:v>
      </x:c>
      <x:c r="M30" s="34" t="n">
        <x:v>0.0298</x:v>
      </x:c>
      <x:c r="N30" s="34" t="n">
        <x:v>0.1339</x:v>
      </x:c>
      <x:c r="O30" s="34" t="n">
        <x:v>0.2865</x:v>
      </x:c>
      <x:c r="P30" s="34" t="n">
        <x:v>0.5007</x:v>
      </x:c>
      <x:c r="Q30" s="34" t="n">
        <x:v>0.4993</x:v>
      </x:c>
      <x:c r="R30" s="34" t="n">
        <x:v>0.6468</x:v>
      </x:c>
      <x:c r="S30" s="34" t="n">
        <x:v>0.8736</x:v>
      </x:c>
      <x:c r="T30" s="34" t="n">
        <x:v>0.1264</x:v>
      </x:c>
      <x:c r="U30" s="31" t="n">
        <x:v>12117</x:v>
      </x:c>
      <x:c r="V30" s="31" t="n">
        <x:v>19781.6</x:v>
      </x:c>
      <x:c r="W30" s="31" t="n">
        <x:v>27932.6</x:v>
      </x:c>
      <x:c r="X30" s="31" t="n">
        <x:v>40042.4</x:v>
      </x:c>
      <x:c r="Y30" s="31" t="n">
        <x:v>52729</x:v>
      </x:c>
      <x:c r="Z30" s="31" t="n">
        <x:v>152807.4</x:v>
      </x:c>
      <x:c r="AA30" s="37" t="n">
        <x:v>3</x:v>
      </x:c>
      <x:c r="AB30" s="40" t="str">
        <x:v>https://wid.world/bulk_download/WID_data_ES.csv</x:v>
      </x:c>
    </x:row>
    <x:row r="31">
      <x:c r="A31" s="25" t="n">
        <x:v>2016</x:v>
      </x:c>
      <x:c r="B31" s="28" t="n">
        <x:v>0.7870801687240601</x:v>
      </x:c>
      <x:c r="C31" s="31" t="n">
        <x:v>31991.4</x:v>
      </x:c>
      <x:c r="D31" s="31" t="n">
        <x:v>4707</x:v>
      </x:c>
      <x:c r="E31" s="31" t="n">
        <x:v>10594.6</x:v>
      </x:c>
      <x:c r="F31" s="31" t="n">
        <x:v>15230.2</x:v>
      </x:c>
      <x:c r="G31" s="31" t="n">
        <x:v>20107.6</x:v>
      </x:c>
      <x:c r="H31" s="31" t="n">
        <x:v>79526.6</x:v>
      </x:c>
      <x:c r="I31" s="31" t="n">
        <x:v>23064.2</x:v>
      </x:c>
      <x:c r="J31" s="31" t="n">
        <x:v>46717.3</x:v>
      </x:c>
      <x:c r="K31" s="31" t="n">
        <x:v>28210.3</x:v>
      </x:c>
      <x:c r="L31" s="31" t="n">
        <x:v>406317.3</x:v>
      </x:c>
      <x:c r="M31" s="34" t="n">
        <x:v>0.0294</x:v>
      </x:c>
      <x:c r="N31" s="34" t="n">
        <x:v>0.1325</x:v>
      </x:c>
      <x:c r="O31" s="34" t="n">
        <x:v>0.2856</x:v>
      </x:c>
      <x:c r="P31" s="34" t="n">
        <x:v>0.5028</x:v>
      </x:c>
      <x:c r="Q31" s="34" t="n">
        <x:v>0.4972</x:v>
      </x:c>
      <x:c r="R31" s="34" t="n">
        <x:v>0.6489</x:v>
      </x:c>
      <x:c r="S31" s="34" t="n">
        <x:v>0.873</x:v>
      </x:c>
      <x:c r="T31" s="34" t="n">
        <x:v>0.127</x:v>
      </x:c>
      <x:c r="U31" s="31" t="n">
        <x:v>12342.9</x:v>
      </x:c>
      <x:c r="V31" s="31" t="n">
        <x:v>20240.3</x:v>
      </x:c>
      <x:c r="W31" s="31" t="n">
        <x:v>28956.6</x:v>
      </x:c>
      <x:c r="X31" s="31" t="n">
        <x:v>41516.8</x:v>
      </x:c>
      <x:c r="Y31" s="31" t="n">
        <x:v>53921.5</x:v>
      </x:c>
      <x:c r="Z31" s="31" t="n">
        <x:v>155661.6</x:v>
      </x:c>
      <x:c r="AA31" s="37" t="n">
        <x:v>3</x:v>
      </x:c>
      <x:c r="AB31" s="40" t="str">
        <x:v>https://wid.world/bulk_download/WID_data_ES.csv</x:v>
      </x:c>
    </x:row>
    <x:row r="32">
      <x:c r="A32" s="25" t="n">
        <x:v>2017</x:v>
      </x:c>
      <x:c r="B32" s="28" t="n">
        <x:v>0.7969813942909241</x:v>
      </x:c>
      <x:c r="C32" s="31" t="n">
        <x:v>32718.3</x:v>
      </x:c>
      <x:c r="D32" s="31" t="n">
        <x:v>5124.700000000001</x:v>
      </x:c>
      <x:c r="E32" s="31" t="n">
        <x:v>11169</x:v>
      </x:c>
      <x:c r="F32" s="31" t="n">
        <x:v>15757.9</x:v>
      </x:c>
      <x:c r="G32" s="31" t="n">
        <x:v>20596.5</x:v>
      </x:c>
      <x:c r="H32" s="31" t="n">
        <x:v>81205.70000000001</x:v>
      </x:c>
      <x:c r="I32" s="31" t="n">
        <x:v>23604.6</x:v>
      </x:c>
      <x:c r="J32" s="31" t="n">
        <x:v>47669.10000000001</x:v>
      </x:c>
      <x:c r="K32" s="31" t="n">
        <x:v>28849</x:v>
      </x:c>
      <x:c r="L32" s="31" t="n">
        <x:v>415783.3</x:v>
      </x:c>
      <x:c r="M32" s="34" t="n">
        <x:v>0.0313</x:v>
      </x:c>
      <x:c r="N32" s="34" t="n">
        <x:v>0.1365</x:v>
      </x:c>
      <x:c r="O32" s="34" t="n">
        <x:v>0.289</x:v>
      </x:c>
      <x:c r="P32" s="34" t="n">
        <x:v>0.5036</x:v>
      </x:c>
      <x:c r="Q32" s="34" t="n">
        <x:v>0.4964</x:v>
      </x:c>
      <x:c r="R32" s="34" t="n">
        <x:v>0.6493</x:v>
      </x:c>
      <x:c r="S32" s="34" t="n">
        <x:v>0.8729</x:v>
      </x:c>
      <x:c r="T32" s="34" t="n">
        <x:v>0.1271</x:v>
      </x:c>
      <x:c r="U32" s="31" t="n">
        <x:v>13438</x:v>
      </x:c>
      <x:c r="V32" s="31" t="n">
        <x:v>20761.5</x:v>
      </x:c>
      <x:c r="W32" s="31" t="n">
        <x:v>29369.8</x:v>
      </x:c>
      <x:c r="X32" s="31" t="n">
        <x:v>42335.4</x:v>
      </x:c>
      <x:c r="Y32" s="31" t="n">
        <x:v>55359.60000000001</x:v>
      </x:c>
      <x:c r="Z32" s="31" t="n">
        <x:v>158022.5</x:v>
      </x:c>
      <x:c r="AA32" s="37" t="n">
        <x:v>3</x:v>
      </x:c>
      <x:c r="AB32" s="40" t="str">
        <x:v>https://wid.world/bulk_download/WID_data_ES.csv</x:v>
      </x:c>
    </x:row>
    <x:row r="33">
      <x:c r="A33" s="25" t="n">
        <x:v>2018</x:v>
      </x:c>
      <x:c r="B33" s="28" t="n">
        <x:v>0.8064444065093994</x:v>
      </x:c>
      <x:c r="C33" s="31" t="n">
        <x:v>33433.9</x:v>
      </x:c>
      <x:c r="D33" s="31" t="n">
        <x:v>5441.700000000001</x:v>
      </x:c>
      <x:c r="E33" s="31" t="n">
        <x:v>11711.9</x:v>
      </x:c>
      <x:c r="F33" s="31" t="n">
        <x:v>16404.2</x:v>
      </x:c>
      <x:c r="G33" s="31" t="n">
        <x:v>21267.9</x:v>
      </x:c>
      <x:c r="H33" s="31" t="n">
        <x:v>82098.1</x:v>
      </x:c>
      <x:c r="I33" s="31" t="n">
        <x:v>24277.7</x:v>
      </x:c>
      <x:c r="J33" s="31" t="n">
        <x:v>48356.4</x:v>
      </x:c>
      <x:c r="K33" s="31" t="n">
        <x:v>29535.4</x:v>
      </x:c>
      <x:c r="L33" s="31" t="n">
        <x:v>419384.9</x:v>
      </x:c>
      <x:c r="M33" s="34" t="n">
        <x:v>0.0326</x:v>
      </x:c>
      <x:c r="N33" s="34" t="n">
        <x:v>0.1401</x:v>
      </x:c>
      <x:c r="O33" s="34" t="n">
        <x:v>0.2944</x:v>
      </x:c>
      <x:c r="P33" s="34" t="n">
        <x:v>0.5089</x:v>
      </x:c>
      <x:c r="Q33" s="34" t="n">
        <x:v>0.4911</x:v>
      </x:c>
      <x:c r="R33" s="34" t="n">
        <x:v>0.6535000000000001</x:v>
      </x:c>
      <x:c r="S33" s="34" t="n">
        <x:v>0.8746</x:v>
      </x:c>
      <x:c r="T33" s="34" t="n">
        <x:v>0.1254</x:v>
      </x:c>
      <x:c r="U33" s="31" t="n">
        <x:v>14269.3</x:v>
      </x:c>
      <x:c r="V33" s="31" t="n">
        <x:v>21490</x:v>
      </x:c>
      <x:c r="W33" s="31" t="n">
        <x:v>30288.6</x:v>
      </x:c>
      <x:c r="X33" s="31" t="n">
        <x:v>42795.5</x:v>
      </x:c>
      <x:c r="Y33" s="31" t="n">
        <x:v>55987.60000000001</x:v>
      </x:c>
      <x:c r="Z33" s="31" t="n">
        <x:v>159552.4</x:v>
      </x:c>
      <x:c r="AA33" s="37" t="n">
        <x:v>3</x:v>
      </x:c>
      <x:c r="AB33" s="40" t="str">
        <x:v>https://wid.world/bulk_download/WID_data_ES.csv</x:v>
      </x:c>
    </x:row>
    <x:row r="34">
      <x:c r="A34" s="25" t="n">
        <x:v>2019</x:v>
      </x:c>
      <x:c r="B34" s="28" t="n">
        <x:v>0.8179656863212585</x:v>
      </x:c>
      <x:c r="C34" s="31" t="n">
        <x:v>33525.8</x:v>
      </x:c>
      <x:c r="D34" s="31" t="n">
        <x:v>5508.400000000001</x:v>
      </x:c>
      <x:c r="E34" s="31" t="n">
        <x:v>11819.6</x:v>
      </x:c>
      <x:c r="F34" s="31" t="n">
        <x:v>16579.5</x:v>
      </x:c>
      <x:c r="G34" s="31" t="n">
        <x:v>21501.6</x:v>
      </x:c>
      <x:c r="H34" s="31" t="n">
        <x:v>81622.5</x:v>
      </x:c>
      <x:c r="I34" s="31" t="n">
        <x:v>24539.1</x:v>
      </x:c>
      <x:c r="J34" s="31" t="n">
        <x:v>48839.10000000001</x:v>
      </x:c>
      <x:c r="K34" s="31" t="n">
        <x:v>29787.9</x:v>
      </x:c>
      <x:c r="L34" s="31" t="n">
        <x:v>403573.6</x:v>
      </x:c>
      <x:c r="M34" s="34" t="n">
        <x:v>0.0329</x:v>
      </x:c>
      <x:c r="N34" s="34" t="n">
        <x:v>0.141</x:v>
      </x:c>
      <x:c r="O34" s="34" t="n">
        <x:v>0.2967</x:v>
      </x:c>
      <x:c r="P34" s="34" t="n">
        <x:v>0.5131</x:v>
      </x:c>
      <x:c r="Q34" s="34" t="n">
        <x:v>0.4869</x:v>
      </x:c>
      <x:c r="R34" s="34" t="n">
        <x:v>0.6588</x:v>
      </x:c>
      <x:c r="S34" s="34" t="n">
        <x:v>0.8796</x:v>
      </x:c>
      <x:c r="T34" s="34" t="n">
        <x:v>0.1204</x:v>
      </x:c>
      <x:c r="U34" s="31" t="n">
        <x:v>14444.3</x:v>
      </x:c>
      <x:c r="V34" s="31" t="n">
        <x:v>21713.1</x:v>
      </x:c>
      <x:c r="W34" s="31" t="n">
        <x:v>30510.2</x:v>
      </x:c>
      <x:c r="X34" s="31" t="n">
        <x:v>43538.5</x:v>
      </x:c>
      <x:c r="Y34" s="31" t="n">
        <x:v>56122.5</x:v>
      </x:c>
      <x:c r="Z34" s="31" t="n">
        <x:v>158913.9</x:v>
      </x:c>
      <x:c r="AA34" s="37" t="n">
        <x:v>3</x:v>
      </x:c>
      <x:c r="AB34" s="40" t="str">
        <x:v>https://wid.world/bulk_download/WID_data_ES.csv</x:v>
      </x:c>
    </x:row>
    <x:row r="35">
      <x:c r="A35" s="25" t="n">
        <x:v>2020</x:v>
      </x:c>
      <x:c r="B35" s="28" t="n">
        <x:v>0.8272407054901123</x:v>
      </x:c>
      <x:c r="C35" s="31" t="n">
        <x:v>29143</x:v>
      </x:c>
      <x:c r="D35" s="31" t="n">
        <x:v>4788.5</x:v>
      </x:c>
      <x:c r="E35" s="31" t="n">
        <x:v>10274.5</x:v>
      </x:c>
      <x:c r="F35" s="31" t="n">
        <x:v>14412.1</x:v>
      </x:c>
      <x:c r="G35" s="31" t="n">
        <x:v>18690.7</x:v>
      </x:c>
      <x:c r="H35" s="31" t="n">
        <x:v>70951.90000000001</x:v>
      </x:c>
      <x:c r="I35" s="31" t="n">
        <x:v>21331.1</x:v>
      </x:c>
      <x:c r="J35" s="31" t="n">
        <x:v>42454.10000000001</x:v>
      </x:c>
      <x:c r="K35" s="31" t="n">
        <x:v>25893.8</x:v>
      </x:c>
      <x:c r="L35" s="31" t="n">
        <x:v>350815.4</x:v>
      </x:c>
      <x:c r="M35" s="34" t="n">
        <x:v>0.0329</x:v>
      </x:c>
      <x:c r="N35" s="34" t="n">
        <x:v>0.141</x:v>
      </x:c>
      <x:c r="O35" s="34" t="n">
        <x:v>0.2967</x:v>
      </x:c>
      <x:c r="P35" s="34" t="n">
        <x:v>0.5131</x:v>
      </x:c>
      <x:c r="Q35" s="34" t="n">
        <x:v>0.4869</x:v>
      </x:c>
      <x:c r="R35" s="34" t="n">
        <x:v>0.6588</x:v>
      </x:c>
      <x:c r="S35" s="34" t="n">
        <x:v>0.8796</x:v>
      </x:c>
      <x:c r="T35" s="34" t="n">
        <x:v>0.1204</x:v>
      </x:c>
      <x:c r="U35" s="31" t="n">
        <x:v>12556.5</x:v>
      </x:c>
      <x:c r="V35" s="31" t="n">
        <x:v>18874.6</x:v>
      </x:c>
      <x:c r="W35" s="31" t="n">
        <x:v>26521.7</x:v>
      </x:c>
      <x:c r="X35" s="31" t="n">
        <x:v>37846.8</x:v>
      </x:c>
      <x:c r="Y35" s="31" t="n">
        <x:v>48785.8</x:v>
      </x:c>
      <x:c r="Z35" s="31" t="n">
        <x:v>138139.6</x:v>
      </x:c>
      <x:c r="AA35" s="37" t="n">
        <x:v>3</x:v>
      </x:c>
      <x:c r="AB35" s="40" t="str">
        <x:v>https://wid.world/bulk_download/WID_data_ES.csv</x:v>
      </x:c>
    </x:row>
    <x:row r="36">
      <x:c r="A36" s="25" t="n">
        <x:v>2021</x:v>
      </x:c>
      <x:c r="B36" s="28" t="n">
        <x:v>0.8483859300613403</x:v>
      </x:c>
      <x:c r="C36" s="31" t="n">
        <x:v>31464.6</x:v>
      </x:c>
      <x:c r="D36" s="31" t="n">
        <x:v>5149.3</x:v>
      </x:c>
      <x:c r="E36" s="31" t="n">
        <x:v>11070.6</x:v>
      </x:c>
      <x:c r="F36" s="31" t="n">
        <x:v>15575.1</x:v>
      </x:c>
      <x:c r="G36" s="31" t="n">
        <x:v>20172.9</x:v>
      </x:c>
      <x:c r="H36" s="31" t="n">
        <x:v>76631.40000000001</x:v>
      </x:c>
      <x:c r="I36" s="31" t="n">
        <x:v>22981.3</x:v>
      </x:c>
      <x:c r="J36" s="31" t="n">
        <x:v>45448.5</x:v>
      </x:c>
      <x:c r="K36" s="31" t="n">
        <x:v>27884</x:v>
      </x:c>
      <x:c r="L36" s="31" t="n">
        <x:v>385942.7</x:v>
      </x:c>
      <x:c r="M36" s="34" t="n">
        <x:v>0.0327</x:v>
      </x:c>
      <x:c r="N36" s="34" t="n">
        <x:v>0.1407</x:v>
      </x:c>
      <x:c r="O36" s="34" t="n">
        <x:v>0.297</x:v>
      </x:c>
      <x:c r="P36" s="34" t="n">
        <x:v>0.5129</x:v>
      </x:c>
      <x:c r="Q36" s="34" t="n">
        <x:v>0.4871</x:v>
      </x:c>
      <x:c r="R36" s="34" t="n">
        <x:v>0.6573</x:v>
      </x:c>
      <x:c r="S36" s="34" t="n">
        <x:v>0.8773000000000001</x:v>
      </x:c>
      <x:c r="T36" s="34" t="n">
        <x:v>0.1227</x:v>
      </x:c>
      <x:c r="U36" s="31" t="n">
        <x:v>13502.7</x:v>
      </x:c>
      <x:c r="V36" s="31" t="n">
        <x:v>20429.9</x:v>
      </x:c>
      <x:c r="W36" s="31" t="n">
        <x:v>28614</x:v>
      </x:c>
      <x:c r="X36" s="31" t="n">
        <x:v>40563</x:v>
      </x:c>
      <x:c r="Y36" s="31" t="n">
        <x:v>52483.8</x:v>
      </x:c>
      <x:c r="Z36" s="31" t="n">
        <x:v>148895.2</x:v>
      </x:c>
      <x:c r="AA36" s="37" t="n">
        <x:v>3</x:v>
      </x:c>
      <x:c r="AB36" s="40" t="str">
        <x:v>https://wid.world/bulk_download/WID_data_ES.csv</x:v>
      </x:c>
    </x:row>
    <x:row r="37">
      <x:c r="A37" s="25" t="n">
        <x:v>2022</x:v>
      </x:c>
      <x:c r="B37" s="28" t="n">
        <x:v>0.8883609175682068</x:v>
      </x:c>
      <x:c r="C37" s="31" t="n">
        <x:v>33244.5</x:v>
      </x:c>
      <x:c r="D37" s="31" t="n">
        <x:v>5388.3</x:v>
      </x:c>
      <x:c r="E37" s="31" t="n">
        <x:v>11698.5</x:v>
      </x:c>
      <x:c r="F37" s="31" t="n">
        <x:v>16615.1</x:v>
      </x:c>
      <x:c r="G37" s="31" t="n">
        <x:v>21438.3</x:v>
      </x:c>
      <x:c r="H37" s="31" t="n">
        <x:v>80469.5</x:v>
      </x:c>
      <x:c r="I37" s="31" t="n">
        <x:v>24286.9</x:v>
      </x:c>
      <x:c r="J37" s="31" t="n">
        <x:v>47075.9</x:v>
      </x:c>
      <x:c r="K37" s="31" t="n">
        <x:v>29394.4</x:v>
      </x:c>
      <x:c r="L37" s="31" t="n">
        <x:v>414411.4</x:v>
      </x:c>
      <x:c r="M37" s="34" t="n">
        <x:v>0.0324</x:v>
      </x:c>
      <x:c r="N37" s="34" t="n">
        <x:v>0.1408</x:v>
      </x:c>
      <x:c r="O37" s="34" t="n">
        <x:v>0.2999</x:v>
      </x:c>
      <x:c r="P37" s="34" t="n">
        <x:v>0.5159</x:v>
      </x:c>
      <x:c r="Q37" s="34" t="n">
        <x:v>0.4841</x:v>
      </x:c>
      <x:c r="R37" s="34" t="n">
        <x:v>0.6575000000000001</x:v>
      </x:c>
      <x:c r="S37" s="34" t="n">
        <x:v>0.8753000000000001</x:v>
      </x:c>
      <x:c r="T37" s="34" t="n">
        <x:v>0.1247</x:v>
      </x:c>
      <x:c r="U37" s="31" t="n">
        <x:v>14129.4</x:v>
      </x:c>
      <x:c r="V37" s="31" t="n">
        <x:v>21845.4</x:v>
      </x:c>
      <x:c r="W37" s="31" t="n">
        <x:v>30307.5</x:v>
      </x:c>
      <x:c r="X37" s="31" t="n">
        <x:v>42177.10000000001</x:v>
      </x:c>
      <x:c r="Y37" s="31" t="n">
        <x:v>54948</x:v>
      </x:c>
      <x:c r="Z37" s="31" t="n">
        <x:v>156423</x:v>
      </x:c>
      <x:c r="AA37" s="37" t="n">
        <x:v>3</x:v>
      </x:c>
      <x:c r="AB37" s="40" t="str">
        <x:v>https://wid.world/bulk_download/WID_data_ES.csv</x:v>
      </x:c>
    </x:row>
    <x:row r="38">
      <x:c r="A38" s="26" t="n">
        <x:v>2023</x:v>
      </x:c>
      <x:c r="B38" s="29" t="n">
        <x:v>0.9437524676322936</x:v>
      </x:c>
      <x:c r="C38" s="32" t="n">
        <x:v>33910.6</x:v>
      </x:c>
      <x:c r="D38" s="32" t="n">
        <x:v>5514</x:v>
      </x:c>
      <x:c r="E38" s="32" t="n">
        <x:v>11959.7</x:v>
      </x:c>
      <x:c r="F38" s="32" t="n">
        <x:v>16957</x:v>
      </x:c>
      <x:c r="G38" s="32" t="n">
        <x:v>21922</x:v>
      </x:c>
      <x:c r="H38" s="32" t="n">
        <x:v>81865.20000000001</x:v>
      </x:c>
      <x:c r="I38" s="32" t="n">
        <x:v>24878.1</x:v>
      </x:c>
      <x:c r="J38" s="32" t="n">
        <x:v>48527.4</x:v>
      </x:c>
      <x:c r="K38" s="32" t="n">
        <x:v>30101.4</x:v>
      </x:c>
      <x:c r="L38" s="32" t="n">
        <x:v>411025.8</x:v>
      </x:c>
      <x:c r="M38" s="35" t="n">
        <x:v>0.0325</x:v>
      </x:c>
      <x:c r="N38" s="35" t="n">
        <x:v>0.1411</x:v>
      </x:c>
      <x:c r="O38" s="35" t="n">
        <x:v>0.3</x:v>
      </x:c>
      <x:c r="P38" s="35" t="n">
        <x:v>0.5172</x:v>
      </x:c>
      <x:c r="Q38" s="35" t="n">
        <x:v>0.4828</x:v>
      </x:c>
      <x:c r="R38" s="35" t="n">
        <x:v>0.6603</x:v>
      </x:c>
      <x:c r="S38" s="35" t="n">
        <x:v>0.8788</x:v>
      </x:c>
      <x:c r="T38" s="35" t="n">
        <x:v>0.1212</x:v>
      </x:c>
      <x:c r="U38" s="32" t="n">
        <x:v>14459.1</x:v>
      </x:c>
      <x:c r="V38" s="32" t="n">
        <x:v>22262.3</x:v>
      </x:c>
      <x:c r="W38" s="32" t="n">
        <x:v>30968.4</x:v>
      </x:c>
      <x:c r="X38" s="32" t="n">
        <x:v>43732</x:v>
      </x:c>
      <x:c r="Y38" s="32" t="n">
        <x:v>56234.5</x:v>
      </x:c>
      <x:c r="Z38" s="32" t="n">
        <x:v>159223.2</x:v>
      </x:c>
      <x:c r="AA38" s="38" t="n">
        <x:v>3</x:v>
      </x:c>
      <x:c r="AB38" s="41" t="str">
        <x:v>https://wid.world/bulk_download/WID_data_ES.csv</x:v>
      </x:c>
    </x:row>
  </x:sheetData>
  <x:mergeCells>
    <x:mergeCell ref="A1:AB1"/>
    <x:mergeCell ref="A2:AB2"/>
  </x:mergeCells>
  <x:pageMargins left="0.7" right="0.7" top="0.75" bottom="0.75" header="0.3" footer="0.3"/>
  <x:tableParts count="1">
    <x:tablePart xmlns:r="http://schemas.openxmlformats.org/officeDocument/2006/relationships" r:id="R6cb6582424144e3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2" hidden="0" customWidth="1"/>
    <x:col min="3" max="3" width="3" hidden="0" customWidth="1"/>
    <x:col min="4" max="4" width="3" hidden="0" customWidth="1"/>
  </x:cols>
  <x:sheetData>
    <x:row r="1" ht="28" customHeight="1">
      <x:c r="A1" s="3" t="str">
        <x:v>Parametros de percentiles</x:v>
      </x:c>
      <x:c r="B1" s="3"/>
      <x:c r="C1" s="3"/>
      <x:c r="D1" s="3"/>
    </x:row>
    <x:row r="2" ht="34" customHeight="1">
      <x:c r="A2" s="7" t="str">
        <x:v>Celdas auxiliares visibles para que las formulas de agregacion sean auditables.</x:v>
      </x:c>
      <x:c r="B2" s="7"/>
      <x:c r="C2" s="7"/>
      <x:c r="D2" s="7"/>
    </x:row>
    <x:row r="4" ht="36" customHeight="1">
      <x:c r="A4" s="15" t="str">
        <x:v>Percentil</x:v>
      </x:c>
      <x:c r="B4" s="15" t="str">
        <x:v>Proporcion acumulada</x:v>
      </x:c>
    </x:row>
    <x:row r="5">
      <x:c r="A5" s="16" t="str">
        <x:v>P20</x:v>
      </x:c>
      <x:c r="B5" s="17" t="n">
        <x:v>0.2</x:v>
      </x:c>
    </x:row>
    <x:row r="6">
      <x:c r="A6" s="16" t="str">
        <x:v>P40</x:v>
      </x:c>
      <x:c r="B6" s="17" t="n">
        <x:v>0.4</x:v>
      </x:c>
    </x:row>
    <x:row r="7">
      <x:c r="A7" s="16" t="str">
        <x:v>P60</x:v>
      </x:c>
      <x:c r="B7" s="17" t="n">
        <x:v>0.6</x:v>
      </x:c>
    </x:row>
    <x:row r="8">
      <x:c r="A8" s="16" t="str">
        <x:v>P80</x:v>
      </x:c>
      <x:c r="B8" s="17" t="n">
        <x:v>0.8</x:v>
      </x:c>
    </x:row>
    <x:row r="9">
      <x:c r="A9" s="16" t="str">
        <x:v>P90</x:v>
      </x:c>
      <x:c r="B9" s="17" t="n">
        <x:v>0.9</x:v>
      </x:c>
    </x:row>
    <x:row r="10">
      <x:c r="A10" s="16" t="str">
        <x:v>P99</x:v>
      </x:c>
      <x:c r="B10" s="17" t="n">
        <x:v>0.99</x:v>
      </x:c>
    </x:row>
    <x:row r="11">
      <x:c r="A11" s="18" t="str">
        <x:v>P100</x:v>
      </x:c>
      <x:c r="B11" s="19" t="n">
        <x:v>1</x:v>
      </x:c>
    </x:row>
    <x:row r="13" ht="36" customHeight="1">
      <x:c r="A13" s="15" t="str">
        <x:v>Parametro</x:v>
      </x:c>
      <x:c r="B13" s="15" t="str">
        <x:v>Valor</x:v>
      </x:c>
    </x:row>
    <x:row r="14">
      <x:c r="A14" s="18" t="str">
        <x:v>Ano base de precios WID</x:v>
      </x:c>
      <x:c r="B14" s="18" t="n">
        <x:v>2025</x:v>
      </x:c>
    </x:row>
  </x:sheetData>
  <x:mergeCells>
    <x:mergeCell ref="A1:D1"/>
    <x:mergeCell ref="A2:D2"/>
  </x:mergeCells>
  <x:pageMargins left="0.7" right="0.7" top="0.75" bottom="0.75" header="0.3" footer="0.3"/>
</x:worksheet>
</file>